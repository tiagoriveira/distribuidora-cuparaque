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Mix" sheetId="3" state="visible" r:id="rId5"/>
    <sheet name="Cascata" sheetId="4" state="visible" r:id="rId6"/>
    <sheet name="Demanda" sheetId="5" state="visible" r:id="rId7"/>
    <sheet name="Cenarios" sheetId="6" state="visible" r:id="rId8"/>
    <sheet name="Ofert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<sst xmlns="http://schemas.openxmlformats.org/spreadsheetml/2006/main" count="296" uniqueCount="275">
  <si>
    <t xml:space="preserve">MODELO FINANCEIRO REVERSO — CONVENIÊNCIA DELIVERY &amp; RETIRADA</t>
  </si>
  <si>
    <t xml:space="preserve">Cuparaque / MG  •  planejamento a partir da retirada dos sócios, não do produto</t>
  </si>
  <si>
    <t xml:space="preserve">COMO USAR</t>
  </si>
  <si>
    <t xml:space="preserve">1.  Edite APENAS as células em AMARELO (texto azul). Todo o resto é fórmula e recalcula sozinho.</t>
  </si>
  <si>
    <t xml:space="preserve">2.  Todas as premissas ficam na aba 'Premissas' e na aba 'Mix'. Mudou uma, a cascata inteira muda.</t>
  </si>
  <si>
    <t xml:space="preserve">3.  A aba 'Cascata' responde: quanto preciso faturar, com que ticket, e quantos pedidos/dia.</t>
  </si>
  <si>
    <t xml:space="preserve">4.  A aba 'Demanda' testa se o bairro/cidade COMPORTA esse número de pedidos. É o freio de realidade.</t>
  </si>
  <si>
    <t xml:space="preserve">5.  A aba 'Cenários' mostra o que acontece se você mudar ticket médio ou meta de retirada.</t>
  </si>
  <si>
    <t xml:space="preserve">6.  A aba 'Ofertas' traduz a meta em produtos, combos e ações concretas.</t>
  </si>
  <si>
    <t xml:space="preserve">LEGENDA DE CORES</t>
  </si>
  <si>
    <t xml:space="preserve">Amarelo + azul  =  você edita</t>
  </si>
  <si>
    <t xml:space="preserve">Preto  =  fórmula calculada nesta aba (não mexer)</t>
  </si>
  <si>
    <t xml:space="preserve">Verde  =  fórmula que puxa valor de outra aba (não mexer)</t>
  </si>
  <si>
    <t xml:space="preserve">A LÓGICA (fórmula corrigida)</t>
  </si>
  <si>
    <t xml:space="preserve">Margem de contribuição por pedido  =  Ticket × (1 − CMV% − Imposto% − Cartão% − Perdas%) − custo de entrega − embalagem</t>
  </si>
  <si>
    <t xml:space="preserve">Pedidos necessários/mês  =  (Custos fixos + Retirada dos sócios) ÷ Margem de contribuição por pedido</t>
  </si>
  <si>
    <t xml:space="preserve">Faturamento necessário/mês  =  Pedidos necessários × Ticket médio</t>
  </si>
  <si>
    <t xml:space="preserve">Observação sobre o exemplo da pizzaria que você mandou: ali 30k de fixo + 20k de lucro = 50k, e não 100k.</t>
  </si>
  <si>
    <t xml:space="preserve">O 100k só fecha se existir uma margem de contribuição de 50% implícita. Este modelo torna essa margem explícita</t>
  </si>
  <si>
    <t xml:space="preserve">e a calcula a partir do mix real de produtos (aba 'Mix'), em vez de assumir um número redondo.</t>
  </si>
  <si>
    <t xml:space="preserve">AVISO DE CONFIABILIDADE DOS NÚMEROS</t>
  </si>
  <si>
    <t xml:space="preserve">NÃO VERIFICADO — Todos os custos fixos, percentuais de CMV, custo de entrega, embalagem, perdas e taxa de cartão</t>
  </si>
  <si>
    <t xml:space="preserve">deste modelo são ESTIMATIVAS PLAUSÍVEIS criadas a pedido do usuário, não pesquisa de campo. Nenhum deles veio de</t>
  </si>
  <si>
    <t xml:space="preserve">cotação real, fornecedor real ou levantamento em Cuparaque. Servem para a estrutura funcionar — os valores precisam</t>
  </si>
  <si>
    <t xml:space="preserve">ser substituídos por cotações reais antes de qualquer decisão de investimento.</t>
  </si>
  <si>
    <t xml:space="preserve">VERIFICADO PELO USUÁRIO — População (3.958 hab.), PIB per capita (R$ 20.995,06), PIB total (R$ 83,6 mi),</t>
  </si>
  <si>
    <t xml:space="preserve">composição setorial do PIB e saldo de emprego formal foram fornecidos pelo usuário. Não foram checados de forma</t>
  </si>
  <si>
    <t xml:space="preserve">independente por mim.</t>
  </si>
  <si>
    <t xml:space="preserve">A CONFERIR COM CONTADOR — As faixas do Simples Nacional (Anexo I) usadas na aba 'Premissas' são as que constam</t>
  </si>
  <si>
    <t xml:space="preserve">da LC 123/2006, mas eu NÃO tenho como confirmar se estão vigentes hoje nem se houve atualização. Além disso:</t>
  </si>
  <si>
    <t xml:space="preserve">bebidas e cigarros são normalmente ICMS-Substituição Tributária, o que permite segregar essa receita e REDUZIR a</t>
  </si>
  <si>
    <t xml:space="preserve">alíquota efetiva do Simples de forma relevante. Este modelo NÃO aplica essa segregação — ou seja, o imposto aqui</t>
  </si>
  <si>
    <t xml:space="preserve">está provavelmente SUPERESTIMADO. Confirme com contador antes de usar.</t>
  </si>
  <si>
    <t xml:space="preserve">CONFLITO DE DADOS — Você mencionou inicialmente 'bairro de ~8 mil habitantes', mas os dados que enviou depois</t>
  </si>
  <si>
    <t xml:space="preserve">indicam Cuparaque com 3.958 hab. (projeção 2026). O modelo usa 3.958. Se o mercado-alvo for outro, ajuste na aba</t>
  </si>
  <si>
    <t xml:space="preserve">'Demanda' — é a premissa que mais muda o veredito de viabilidade.</t>
  </si>
  <si>
    <t xml:space="preserve">PREMISSAS — edite só o amarelo</t>
  </si>
  <si>
    <t xml:space="preserve">1. META DOS SÓCIOS</t>
  </si>
  <si>
    <t xml:space="preserve">Item</t>
  </si>
  <si>
    <t xml:space="preserve">Valor</t>
  </si>
  <si>
    <t xml:space="preserve">Observação / origem do número</t>
  </si>
  <si>
    <t xml:space="preserve">Retirada líquida pretendida por sócio (R$/mês)</t>
  </si>
  <si>
    <t xml:space="preserve">Informado por você. Ambiguidade: assumi R$3.500 POR SÓCIO. Se for R$3.500 no total, mude para 1166,67.</t>
  </si>
  <si>
    <t xml:space="preserve">Número de sócios</t>
  </si>
  <si>
    <t xml:space="preserve">Informado por você.</t>
  </si>
  <si>
    <t xml:space="preserve">RETIRADA TOTAL DOS SÓCIOS (R$/mês)</t>
  </si>
  <si>
    <t xml:space="preserve">Este é o 'lucro desejado' do seu exemplo. É o ponto de partida de toda a conta.</t>
  </si>
  <si>
    <t xml:space="preserve">2. CUSTOS FIXOS MENSAIS</t>
  </si>
  <si>
    <t xml:space="preserve">TODOS ESTIMADOS POR MIM — não verificados. Substitua por cotação real.</t>
  </si>
  <si>
    <t xml:space="preserve">R$/mês</t>
  </si>
  <si>
    <t xml:space="preserve">Racional da estimativa</t>
  </si>
  <si>
    <t xml:space="preserve">Aluguel de ponto pequeno (30-50m²)</t>
  </si>
  <si>
    <t xml:space="preserve">Ponto simples em cidade do interior de MG. Estimado.</t>
  </si>
  <si>
    <t xml:space="preserve">Energia elétrica (freezers/geladeiras/cervejeira)</t>
  </si>
  <si>
    <t xml:space="preserve">Refrigeração 24h é o maior consumo do negócio. Estimado.</t>
  </si>
  <si>
    <t xml:space="preserve">Água</t>
  </si>
  <si>
    <t xml:space="preserve">Estimado.</t>
  </si>
  <si>
    <t xml:space="preserve">Internet + telefone</t>
  </si>
  <si>
    <t xml:space="preserve">Contador (Simples Nacional)</t>
  </si>
  <si>
    <t xml:space="preserve">Faixa comum de honorário para MEI/ME no interior. Estimado.</t>
  </si>
  <si>
    <t xml:space="preserve">Marketing local (impulsionamento + panfleto)</t>
  </si>
  <si>
    <t xml:space="preserve">Verba mínima para tracionar WhatsApp. Estimado.</t>
  </si>
  <si>
    <t xml:space="preserve">Manutenção, limpeza e diversos</t>
  </si>
  <si>
    <t xml:space="preserve">Alvará, licenças e taxas (rateio mensal)</t>
  </si>
  <si>
    <t xml:space="preserve">Inclui licença para venda de bebida alcoólica. Estimado.</t>
  </si>
  <si>
    <t xml:space="preserve">Salário de funcionário fixo (além dos sócios)</t>
  </si>
  <si>
    <t xml:space="preserve">Zerado: premissa é que os 3 sócios operam. Se contratar, preencha aqui com salário + encargos.</t>
  </si>
  <si>
    <t xml:space="preserve">Subtotal</t>
  </si>
  <si>
    <t xml:space="preserve">Margem de contingência (%)</t>
  </si>
  <si>
    <t xml:space="preserve">Colchão para imprevisto. Estimado.</t>
  </si>
  <si>
    <t xml:space="preserve">CUSTO FIXO TOTAL (R$/mês)</t>
  </si>
  <si>
    <t xml:space="preserve">3. CUSTOS VARIÁVEIS</t>
  </si>
  <si>
    <t xml:space="preserve">TODOS ESTIMADOS POR MIM — não verificados.</t>
  </si>
  <si>
    <t xml:space="preserve">CMV médio ponderado (% da receita)</t>
  </si>
  <si>
    <t xml:space="preserve">NÃO editar aqui. Vem da aba 'Mix' — muda automaticamente quando você altera o mix de produtos.</t>
  </si>
  <si>
    <t xml:space="preserve">Taxa de cartão/Pix (% da receita)</t>
  </si>
  <si>
    <t xml:space="preserve">Média ponderada débito/crédito/Pix. Estimado — negocie com a adquirente.</t>
  </si>
  <si>
    <t xml:space="preserve">Perdas, quebras e validade vencida (% da receita)</t>
  </si>
  <si>
    <t xml:space="preserve">Vidro quebrado, produto vencido, furto. Estimado.</t>
  </si>
  <si>
    <t xml:space="preserve">Custo pago por entrega (R$/pedido)</t>
  </si>
  <si>
    <t xml:space="preserve">Valor pago ao entregador por corrida. Estimado — cidade pequena, distâncias curtas.</t>
  </si>
  <si>
    <t xml:space="preserve">Taxa de entrega cobrada do cliente (R$/pedido)</t>
  </si>
  <si>
    <t xml:space="preserve">Repassada ao cliente. Se der entrega grátis, coloque 0.</t>
  </si>
  <si>
    <t xml:space="preserve">% dos pedidos que são delivery (resto é retirada)</t>
  </si>
  <si>
    <t xml:space="preserve">Estimado. Retirada não gera custo de entrega — quanto mais retirada, melhor a margem.</t>
  </si>
  <si>
    <t xml:space="preserve">Embalagem por pedido (R$)</t>
  </si>
  <si>
    <t xml:space="preserve">Sacola, gelo de transporte, fita. Estimado.</t>
  </si>
  <si>
    <t xml:space="preserve">4. IMPOSTO — SIMPLES NACIONAL ANEXO I (COMÉRCIO)</t>
  </si>
  <si>
    <t xml:space="preserve">FAIXAS A CONFERIR COM CONTADOR. Ver aviso na aba 'Leia-me'.</t>
  </si>
  <si>
    <t xml:space="preserve">Faturamento bruto dos últimos 12 meses (RBT12) estimado</t>
  </si>
  <si>
    <t xml:space="preserve">Evita cálculo circular. Depois de rodar a cascata, volte aqui e iguale ao 'Faturamento anualizado' da aba 'Cascata'.</t>
  </si>
  <si>
    <t xml:space="preserve">Tabela de faixas (não editar sem orientação do contador)</t>
  </si>
  <si>
    <t xml:space="preserve">Limite inferior (R$)</t>
  </si>
  <si>
    <t xml:space="preserve">Alíquota nominal</t>
  </si>
  <si>
    <t xml:space="preserve">Parcela a deduzir (R$)</t>
  </si>
  <si>
    <t xml:space="preserve">Alíquota nominal aplicável</t>
  </si>
  <si>
    <t xml:space="preserve">Parcela a deduzir aplicável</t>
  </si>
  <si>
    <t xml:space="preserve">ALÍQUOTA EFETIVA DO SIMPLES</t>
  </si>
  <si>
    <t xml:space="preserve">Fórmula oficial: (RBT12 × alíquota nominal − parcela a deduzir) ÷ RBT12.</t>
  </si>
  <si>
    <t xml:space="preserve">5. OPERAÇÃO</t>
  </si>
  <si>
    <t xml:space="preserve">Racional</t>
  </si>
  <si>
    <t xml:space="preserve">Dias de operação por mês</t>
  </si>
  <si>
    <t xml:space="preserve">Estimado: conveniência abre todo dia, inclusive domingo (é onde está o pico).</t>
  </si>
  <si>
    <t xml:space="preserve">Horas de operação por dia</t>
  </si>
  <si>
    <t xml:space="preserve">Estimado: 15h às 00h. O faturamento de conveniência concentra-se na noite e no fim de semana.</t>
  </si>
  <si>
    <t xml:space="preserve">Ticket mínimo para delivery (R$)</t>
  </si>
  <si>
    <t xml:space="preserve">Estimado. Serve para proteger a margem — pedido pequeno com entrega dá prejuízo.</t>
  </si>
  <si>
    <t xml:space="preserve">TICKET MÉDIO PLANEJADO (R$) ←— principal alavanca</t>
  </si>
  <si>
    <t xml:space="preserve">Estimado. Mude aqui e TODA a cascata, a demanda e os cenários recalculam.</t>
  </si>
  <si>
    <t xml:space="preserve">MIX DE PRODUTOS — o que define a sua margem</t>
  </si>
  <si>
    <t xml:space="preserve">A soma da coluna 'Participação' precisa dar 100%. O CMV ponderado alimenta a aba Premissas automaticamente.</t>
  </si>
  <si>
    <t xml:space="preserve">Categoria</t>
  </si>
  <si>
    <t xml:space="preserve">Participação na receita</t>
  </si>
  <si>
    <t xml:space="preserve">CMV (%)</t>
  </si>
  <si>
    <t xml:space="preserve">Margem bruta (%)</t>
  </si>
  <si>
    <t xml:space="preserve">Contribuição para o CMV</t>
  </si>
  <si>
    <t xml:space="preserve">Papel estratégico da categoria</t>
  </si>
  <si>
    <t xml:space="preserve">Cerveja gelada (lata / long neck)</t>
  </si>
  <si>
    <t xml:space="preserve">Motor de volume. Margem baixa, giro altíssimo. É o que traz o pedido.</t>
  </si>
  <si>
    <t xml:space="preserve">Refrigerante, água e energético</t>
  </si>
  <si>
    <t xml:space="preserve">Complemento natural da cerveja. Bom para combo.</t>
  </si>
  <si>
    <t xml:space="preserve">Destilados, vinho e ice</t>
  </si>
  <si>
    <t xml:space="preserve">Ticket alto por unidade. Puxa o ticket médio para cima.</t>
  </si>
  <si>
    <t xml:space="preserve">Snacks, salgadinho, chocolate, amendoim</t>
  </si>
  <si>
    <t xml:space="preserve">Item de impulso. Margem melhor. Alvo n.º 1 de upsell.</t>
  </si>
  <si>
    <t xml:space="preserve">Gelo, carvão, descartáveis, isqueiro</t>
  </si>
  <si>
    <t xml:space="preserve">MAIOR MARGEM da loja. Quase ninguém compra separado — sempre oferecer junto.</t>
  </si>
  <si>
    <t xml:space="preserve">Cigarro e tabacaria</t>
  </si>
  <si>
    <t xml:space="preserve">Margem quase nula. Serve só como isca de tráfego. Não promover.</t>
  </si>
  <si>
    <t xml:space="preserve">Mercearia emergencial (arroz, óleo, pão, ovo)</t>
  </si>
  <si>
    <t xml:space="preserve">Captura a compra de urgência fora do horário do mercado.</t>
  </si>
  <si>
    <t xml:space="preserve">TOTAL</t>
  </si>
  <si>
    <t xml:space="preserve">Se o TOTAL da participação não der 100%, o modelo inteiro fica errado.</t>
  </si>
  <si>
    <t xml:space="preserve">Checagem de consistência</t>
  </si>
  <si>
    <t xml:space="preserve">CMV MÉDIO PONDERADO</t>
  </si>
  <si>
    <t xml:space="preserve">CMV ponderado (usado em toda a planilha)</t>
  </si>
  <si>
    <t xml:space="preserve">Este é o número que a aba Premissas puxa. NÃO editar diretamente — edite o mix acima.</t>
  </si>
  <si>
    <t xml:space="preserve">TODOS os percentuais de CMV acima são estimativas minhas de faixas típicas de varejo de conveniência.</t>
  </si>
  <si>
    <t xml:space="preserve">NÃO são cotação real de distribuidor. Peça tabela de preço a 2 distribuidores da região e substitua.</t>
  </si>
  <si>
    <t xml:space="preserve">CASCATA — da retirada dos sócios até pedidos por dia</t>
  </si>
  <si>
    <t xml:space="preserve">Nada aqui é editável. Tudo vem de 'Premissas' e 'Mix'.</t>
  </si>
  <si>
    <t xml:space="preserve">Passo</t>
  </si>
  <si>
    <t xml:space="preserve">O que significa</t>
  </si>
  <si>
    <t xml:space="preserve">1. Retirada pretendida pelos sócios (R$/mês)</t>
  </si>
  <si>
    <t xml:space="preserve">Ponto de partida. O que os 3 sócios querem tirar juntos.</t>
  </si>
  <si>
    <t xml:space="preserve">2. Custos fixos totais (R$/mês)</t>
  </si>
  <si>
    <t xml:space="preserve">Sai independente de vender ou não.</t>
  </si>
  <si>
    <t xml:space="preserve">3. Resultado que a operação precisa gerar (R$/mês)</t>
  </si>
  <si>
    <t xml:space="preserve">Soma de 1 + 2. É o que a margem de contribuição tem que cobrir.</t>
  </si>
  <si>
    <t xml:space="preserve">4. Ticket médio planejado (R$)</t>
  </si>
  <si>
    <t xml:space="preserve">Vem de Premissas. É a alavanca principal.</t>
  </si>
  <si>
    <t xml:space="preserve">5. (−) CMV por pedido</t>
  </si>
  <si>
    <t xml:space="preserve">Custo da mercadoria vendida, ponderado pelo mix.</t>
  </si>
  <si>
    <t xml:space="preserve">6. (−) Imposto (Simples efetivo) por pedido</t>
  </si>
  <si>
    <t xml:space="preserve">Provavelmente superestimado — ver nota sobre Substituição Tributária.</t>
  </si>
  <si>
    <t xml:space="preserve">7. (−) Taxa de cartão/Pix por pedido</t>
  </si>
  <si>
    <t xml:space="preserve">8. (−) Perdas e quebras por pedido</t>
  </si>
  <si>
    <t xml:space="preserve">9. (−) Custo líquido de entrega por pedido</t>
  </si>
  <si>
    <t xml:space="preserve">Custo pago menos taxa cobrada, aplicado só sobre a fatia que é delivery. Se a taxa cobrir o custo, isto vira zero ou positivo.</t>
  </si>
  <si>
    <t xml:space="preserve">10. (−) Embalagem por pedido</t>
  </si>
  <si>
    <t xml:space="preserve">MARGEM DE CONTRIBUIÇÃO POR PEDIDO (R$)</t>
  </si>
  <si>
    <t xml:space="preserve">Quanto SOBRA de cada pedido para pagar fixo + retirada. Se for negativo ou perto de zero, o modelo não fecha de jeito nenhum.</t>
  </si>
  <si>
    <t xml:space="preserve">Margem de contribuição (% do ticket)</t>
  </si>
  <si>
    <t xml:space="preserve">No exemplo da pizzaria, este era o '50%' que estava implícito e não declarado.</t>
  </si>
  <si>
    <t xml:space="preserve">RESULTADO</t>
  </si>
  <si>
    <t xml:space="preserve">Indicador</t>
  </si>
  <si>
    <t xml:space="preserve">Leitura</t>
  </si>
  <si>
    <t xml:space="preserve">PEDIDOS NECESSÁRIOS POR MÊS</t>
  </si>
  <si>
    <t xml:space="preserve">Resultado que precisa cobrir fixo + retirada, dividido pela margem de cada pedido.</t>
  </si>
  <si>
    <t xml:space="preserve">FATURAMENTO NECESSÁRIO POR MÊS (R$)</t>
  </si>
  <si>
    <t xml:space="preserve">Pedidos × ticket médio.</t>
  </si>
  <si>
    <t xml:space="preserve">Faturamento anualizado (R$) — use na célula RBT12</t>
  </si>
  <si>
    <t xml:space="preserve">Copie este valor para a célula RBT12 na aba Premissas e recalcule. Uma ou duas rodadas convergem.</t>
  </si>
  <si>
    <t xml:space="preserve">PEDIDOS POR DIA</t>
  </si>
  <si>
    <t xml:space="preserve">Este é o número que você testa contra a realidade do bairro na aba 'Demanda'.</t>
  </si>
  <si>
    <t xml:space="preserve">Pedidos por hora de operação</t>
  </si>
  <si>
    <t xml:space="preserve">Teste operacional: 3 sócios dão conta desse ritmo, considerando pico concentrado à noite?</t>
  </si>
  <si>
    <t xml:space="preserve">Faturamento por dia (R$)</t>
  </si>
  <si>
    <t xml:space="preserve">PONTO DE EQUILÍBRIO (sem retirada dos sócios)</t>
  </si>
  <si>
    <t xml:space="preserve">Pedidos/mês só para pagar os custos fixos</t>
  </si>
  <si>
    <t xml:space="preserve">Abaixo disso, o negócio dá prejuízo e os sócios não tiram nada.</t>
  </si>
  <si>
    <t xml:space="preserve">Pedidos/dia só para pagar os custos fixos</t>
  </si>
  <si>
    <t xml:space="preserve">Este é o seu piso de sobrevivência.</t>
  </si>
  <si>
    <t xml:space="preserve">Faturamento/mês no ponto de equilíbrio (R$)</t>
  </si>
  <si>
    <t xml:space="preserve">TESTE DE REALIDADE — o mercado comporta essa meta?</t>
  </si>
  <si>
    <t xml:space="preserve">É aqui que a maioria dos planos de conveniência quebra. A conta financeira fecha; o tamanho da cidade não.</t>
  </si>
  <si>
    <t xml:space="preserve">1. TAMANHO DO MERCADO</t>
  </si>
  <si>
    <t xml:space="preserve">Origem</t>
  </si>
  <si>
    <t xml:space="preserve">População do município (hab.)</t>
  </si>
  <si>
    <t xml:space="preserve">Fornecido por você: projeção 2026 para Cuparaque/MG. Não verificado por mim de forma independente.</t>
  </si>
  <si>
    <t xml:space="preserve">Moradores por domicílio</t>
  </si>
  <si>
    <t xml:space="preserve">ESTIMADO por mim. Não é dado do IBGE que eu tenha conferido. Ajuste se souber o real.</t>
  </si>
  <si>
    <t xml:space="preserve">Domicílios totais no município</t>
  </si>
  <si>
    <t xml:space="preserve">% dos domicílios no alcance da entrega</t>
  </si>
  <si>
    <t xml:space="preserve">ESTIMADO. Densidade de 17,6 hab/km² com população concentrada no núcleo urbano e no distrito de Aldeia — Aldeia pode ficar fora do raio viável.</t>
  </si>
  <si>
    <t xml:space="preserve">DOMICÍLIOS ENDEREÇÁVEIS</t>
  </si>
  <si>
    <t xml:space="preserve">2. QUANTO O MODELO EXIGE DO MERCADO</t>
  </si>
  <si>
    <t xml:space="preserve">Pedidos/mês exigidos pela meta</t>
  </si>
  <si>
    <t xml:space="preserve">Vem da aba Cascata.</t>
  </si>
  <si>
    <t xml:space="preserve">Pedidos por domicílio endereçável por mês</t>
  </si>
  <si>
    <t xml:space="preserve">TESTE-CHAVE: é o número de vezes que CADA casa do bairro teria que comprar, por mês, para a meta fechar.</t>
  </si>
  <si>
    <t xml:space="preserve">Faturamento exigido por domicílio por mês (R$)</t>
  </si>
  <si>
    <t xml:space="preserve">Quanto cada casa teria que gastar SÓ NA SUA LOJA, todo mês.</t>
  </si>
  <si>
    <t xml:space="preserve">3. COMPARAÇÃO COM A RENDA LOCAL</t>
  </si>
  <si>
    <t xml:space="preserve">Origem / leitura</t>
  </si>
  <si>
    <t xml:space="preserve">PIB per capita anual (R$)</t>
  </si>
  <si>
    <t xml:space="preserve">Fornecido por você.</t>
  </si>
  <si>
    <t xml:space="preserve">PIB per capita mensal (R$)</t>
  </si>
  <si>
    <t xml:space="preserve">ATENÇÃO: PIB per capita NÃO é renda disponível da família. Inclui administração pública (40,7% do PIB local) e agropecuária. A renda real que entra na casa é bem menor.</t>
  </si>
  <si>
    <t xml:space="preserve">PIB mensal por domicílio (R$) — proxy grosseiro de renda</t>
  </si>
  <si>
    <t xml:space="preserve">Proxy otimista. Use como TETO, nunca como renda efetiva.</t>
  </si>
  <si>
    <t xml:space="preserve">% da 'renda' do domicílio que iria para a sua loja</t>
  </si>
  <si>
    <t xml:space="preserve">Regra de bolso: conveniência/bebida raramente passa de 3-5% do orçamento familiar em cidade de baixa renda. Acima disso, a meta é irreal. ESTA REGRA DE BOLSO É ESTIMATIVA MINHA, não é dado de pesquisa.</t>
  </si>
  <si>
    <t xml:space="preserve">4. VEREDITO AUTOMÁTICO</t>
  </si>
  <si>
    <t xml:space="preserve">5. FATORES QUE AMPLIAM O MERCADO ALÉM DO CÁLCULO ACIMA</t>
  </si>
  <si>
    <t xml:space="preserve">•  AgroCupira (feira agropecuária regional): pico de consumo no 1º semestre, com público de fora. Trate como receita EXTRA de 1-2 meses, nunca como base do plano mensal.</t>
  </si>
  <si>
    <t xml:space="preserve">•  Fluxo esportivo regional sazonal: gera demanda de bebida e gelo em fins de semana específicos.</t>
  </si>
  <si>
    <t xml:space="preserve">•  Administração pública = 40,7% do PIB: renda estável e com data certa. O pico de vendas tende a se concentrar nos dias seguintes ao pagamento do funcionalismo. Planeje estoque e promoção em torno desse calendário.</t>
  </si>
  <si>
    <t xml:space="preserve">•  Distrito de Aldeia: se entrar no raio de entrega, amplia a base de domicílios. Exige avaliar custo/tempo de deslocamento — ajuste a célula C10 e o custo por entrega.</t>
  </si>
  <si>
    <t xml:space="preserve">•  Obras públicas em 2026 (pavimentação, reforma do CEMEI): injetam renda temporária de mão de obra local. Efeito de curto prazo, não estrutural.</t>
  </si>
  <si>
    <t xml:space="preserve">Saldo de emprego formal em 2026: 37 admissões contra 42 desligamentos (saldo −5). Mercado de trabalho estagnado — não conte com crescimento orgânico de consumidores. A população também caiu 14,89% no último Censo.</t>
  </si>
  <si>
    <t xml:space="preserve">SENSIBILIDADE — o efeito de mudar o ticket médio</t>
  </si>
  <si>
    <t xml:space="preserve">Cada linha recalcula a cascata inteira para um ticket diferente, mantendo todas as outras premissas.</t>
  </si>
  <si>
    <t xml:space="preserve">Ticket médio (R$)</t>
  </si>
  <si>
    <t xml:space="preserve">Margem contrib. p/ pedido (R$)</t>
  </si>
  <si>
    <t xml:space="preserve">Pedidos/mês</t>
  </si>
  <si>
    <t xml:space="preserve">Pedidos/dia</t>
  </si>
  <si>
    <t xml:space="preserve">Faturamento/mês (R$)</t>
  </si>
  <si>
    <t xml:space="preserve">Compras por domicílio/mês</t>
  </si>
  <si>
    <t xml:space="preserve">% do orçamento do domicílio</t>
  </si>
  <si>
    <t xml:space="preserve">Como ler</t>
  </si>
  <si>
    <t xml:space="preserve">•  Ticket maior = menos pedidos para a mesma meta = menos pressão sobre uma cidade pequena. Por isso o ticket é a alavanca mais importante aqui.</t>
  </si>
  <si>
    <t xml:space="preserve">•  Mas ticket alto demais afasta a compra por impulso, que é a essência de conveniência. O equilíbrio está em subir o ticket por COMBO, não por preço unitário alto.</t>
  </si>
  <si>
    <t xml:space="preserve">•  A coluna '% do orçamento do domicílio' é o freio: quanto mais alta, mais irreal a meta para o tamanho de Cuparaque.</t>
  </si>
  <si>
    <t xml:space="preserve">SENSIBILIDADE — meta de retirada por sócio</t>
  </si>
  <si>
    <t xml:space="preserve">Retirada por sócio (R$)</t>
  </si>
  <si>
    <t xml:space="preserve">Retirada total (R$)</t>
  </si>
  <si>
    <t xml:space="preserve">Resultado necessário (R$)</t>
  </si>
  <si>
    <t xml:space="preserve">OFERTAS E PRODUTOS — como construir o ticket planejado</t>
  </si>
  <si>
    <t xml:space="preserve">Combos desenhados para PUXAR O TICKET, não para dar desconto. Preços e custos abaixo são estimativas minhas.</t>
  </si>
  <si>
    <t xml:space="preserve">Combo / oferta</t>
  </si>
  <si>
    <t xml:space="preserve">Preço de venda (R$)</t>
  </si>
  <si>
    <t xml:space="preserve">Custo estimado (R$)</t>
  </si>
  <si>
    <t xml:space="preserve">Margem (R$)</t>
  </si>
  <si>
    <t xml:space="preserve">Margem (%)</t>
  </si>
  <si>
    <t xml:space="preserve">vs. ticket planejado</t>
  </si>
  <si>
    <t xml:space="preserve">Função no modelo econômico</t>
  </si>
  <si>
    <t xml:space="preserve">Combo Fim de Semana
12 latas + 2 pacotes de gelo + amendoim</t>
  </si>
  <si>
    <t xml:space="preserve">Ancora o ticket bem acima da média. Gelo e amendoim carregam a margem que a cerveja não dá.</t>
  </si>
  <si>
    <t xml:space="preserve">Combo Churrasco
carvão + gelo + descartáveis + 6 latas</t>
  </si>
  <si>
    <t xml:space="preserve">Categoria de MAIOR margem da loja (gelo/carvão/descartável) empacotada com o produto de maior giro.</t>
  </si>
  <si>
    <t xml:space="preserve">Combo Dupla
6 latas + 1 salgadinho grande</t>
  </si>
  <si>
    <t xml:space="preserve">Entrada acessível. Serve para converter quem pediria só 'duas cervejas'.</t>
  </si>
  <si>
    <t xml:space="preserve">Kit Drink em Casa
1 destilado + 2 energéticos + gelo</t>
  </si>
  <si>
    <t xml:space="preserve">Maior ticket do cardápio. Público jovem, noite de sexta/sábado.</t>
  </si>
  <si>
    <t xml:space="preserve">Emergência da Madrugada
mercearia básica + bebida</t>
  </si>
  <si>
    <t xml:space="preserve">Captura a compra fora do horário do mercado. Margem baixa, mas fideliza e cria hábito de recompra.</t>
  </si>
  <si>
    <t xml:space="preserve">Assinatura Semanal
entrega fixa combinada toda sexta</t>
  </si>
  <si>
    <t xml:space="preserve">Receita previsível. É o único item que ataca o problema real: a FREQUÊNCIA de recompra numa cidade pequena.</t>
  </si>
  <si>
    <t xml:space="preserve">Ticket planejado (referência)</t>
  </si>
  <si>
    <t xml:space="preserve">PRINCÍPIOS DE PRECIFICAÇÃO PARA ESTE MODELO</t>
  </si>
  <si>
    <t xml:space="preserve">•  Cerveja é ISCA, não é lucro. CMV de ~72% significa que vender só cerveja não paga a operação. Ela existe para gerar o pedido; a margem vem do que vai junto.</t>
  </si>
  <si>
    <t xml:space="preserve">•  Gelo, carvão e descartáveis são o motor de margem (CMV ~40%). Nunca devem ser vendidos isolados — sempre empacotados. Ninguém compara preço de gelo.</t>
  </si>
  <si>
    <t xml:space="preserve">•  Cigarro tem CMV ~88%. Vale ter para não perder o cliente, mas jamais promover ou destacar. É custo de tráfego.</t>
  </si>
  <si>
    <t xml:space="preserve">•  O desconto do combo deve ser MENOR que o ganho de margem do item agregado. Combo que só dá desconto destrói o modelo em vez de sustentá-lo.</t>
  </si>
  <si>
    <t xml:space="preserve">•  Ticket mínimo para delivery protege a margem: pedido de R$15 com R$3,50 de entrega + R$1,20 de embalagem tem margem de contribuição próxima de zero.</t>
  </si>
  <si>
    <t xml:space="preserve">•  Retirada tem margem maior que delivery. Vale criar incentivo explícito para retirar (ex.: item brinde acima de X), porque melhora a margem sem baixar preço.</t>
  </si>
  <si>
    <t xml:space="preserve">ALAVANCAS PARA ATINGIR A META, EM ORDEM DE IMPACTO</t>
  </si>
  <si>
    <t xml:space="preserve">1. FREQUÊNCIA — em cidade de 4 mil habitantes o limite não é quantas pessoas existem, é quantas vezes cada uma compra. Assinatura semanal e programa de recompra valem mais que qualquer campanha de aquisição.</t>
  </si>
  <si>
    <t xml:space="preserve">2. TICKET via combo — subir de R$55 para R$75 derruba os pedidos/dia necessários em ~27%, sem precisar de mais clientes.</t>
  </si>
  <si>
    <t xml:space="preserve">3. MIX — deslocar participação de cigarro e cerveja para gelo/carvão/snacks melhora o CMV ponderado e reduz o faturamento necessário.</t>
  </si>
  <si>
    <t xml:space="preserve">4. RAIO — incluir o distrito de Aldeia amplia a base de domicílios. Simule mudando a célula C10 da aba 'Demanda'.</t>
  </si>
  <si>
    <t xml:space="preserve">5. CALENDÁRIO — concentrar promoção nos dias seguintes ao pagamento do funcionalismo (40,7% do PIB local) e nos eventos (AgroCupira, competições esportivas).</t>
  </si>
  <si>
    <t xml:space="preserve">6. CUSTO FIXO — cada R$100 cortados no fixo reduzem o faturamento necessário de forma direta. Operar sem ponto próprio no início é a economia mais óbvia a testar.</t>
  </si>
  <si>
    <t xml:space="preserve">Preços e custos dos combos acima são ESTIMATIVAS MINHAS para dar forma ao raciocínio. Não são cotação real.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</si>
</sst>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;&quot;(R$ &quot;#,##0.00\);\-"/>
    <numFmt numFmtId="166" formatCode="#,##0;\(#,##0\);\-"/>
    <numFmt numFmtId="167" formatCode="0.0%;\(0.0%\);\-"/>
    <numFmt numFmtId="168" formatCode="&quot;R$ &quot;#,##0;&quot;(R$ &quot;#,##0\);\-"/>
    <numFmt numFmtId="169" formatCode="#,##0.0;\(#,##0.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</row>
    <row r="7" customFormat="false" ht="15" hidden="false" customHeight="true" outlineLevel="0" collapsed="false">
      <c r="B7" s="4" t="s">
        <v>4</v>
      </c>
    </row>
    <row r="8" customFormat="false" ht="15" hidden="false" customHeight="true" outlineLevel="0" collapsed="false">
      <c r="B8" s="4" t="s">
        <v>5</v>
      </c>
    </row>
    <row r="9" customFormat="false" ht="15" hidden="false" customHeight="true" outlineLevel="0" collapsed="false">
      <c r="B9" s="4" t="s">
        <v>6</v>
      </c>
    </row>
    <row r="10" customFormat="false" ht="15" hidden="false" customHeight="true" outlineLevel="0" collapsed="false">
      <c r="B10" s="4" t="s">
        <v>7</v>
      </c>
    </row>
    <row r="11" customFormat="false" ht="15" hidden="false" customHeight="true" outlineLevel="0" collapsed="false">
      <c r="B11" s="4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5" t="s">
        <v>10</v>
      </c>
    </row>
    <row r="15" customFormat="false" ht="15" hidden="false" customHeight="false" outlineLevel="0" collapsed="false">
      <c r="B15" s="6" t="s">
        <v>11</v>
      </c>
    </row>
    <row r="16" customFormat="false" ht="15" hidden="false" customHeight="false" outlineLevel="0" collapsed="false">
      <c r="B16" s="7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/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4" t="s">
        <v>21</v>
      </c>
    </row>
    <row r="29" customFormat="false" ht="15" hidden="false" customHeight="false" outlineLevel="0" collapsed="false">
      <c r="B29" s="4" t="s">
        <v>22</v>
      </c>
    </row>
    <row r="30" customFormat="false" ht="15" hidden="false" customHeight="false" outlineLevel="0" collapsed="false">
      <c r="B30" s="4" t="s">
        <v>23</v>
      </c>
    </row>
    <row r="31" customFormat="false" ht="15" hidden="false" customHeight="false" outlineLevel="0" collapsed="false">
      <c r="B31" s="4" t="s">
        <v>24</v>
      </c>
    </row>
    <row r="32" customFormat="false" ht="15" hidden="false" customHeight="false" outlineLevel="0" collapsed="false">
      <c r="B32" s="4"/>
    </row>
    <row r="33" customFormat="false" ht="15" hidden="false" customHeight="false" outlineLevel="0" collapsed="false">
      <c r="B33" s="4" t="s">
        <v>25</v>
      </c>
    </row>
    <row r="34" customFormat="false" ht="15" hidden="false" customHeight="false" outlineLevel="0" collapsed="false">
      <c r="B34" s="4" t="s">
        <v>26</v>
      </c>
    </row>
    <row r="35" customFormat="false" ht="15" hidden="false" customHeight="false" outlineLevel="0" collapsed="false">
      <c r="B35" s="4" t="s">
        <v>27</v>
      </c>
    </row>
    <row r="36" customFormat="false" ht="15" hidden="false" customHeight="false" outlineLevel="0" collapsed="false">
      <c r="B36" s="4"/>
    </row>
    <row r="37" customFormat="false" ht="15" hidden="false" customHeight="false" outlineLevel="0" collapsed="false">
      <c r="B37" s="4" t="s">
        <v>28</v>
      </c>
    </row>
    <row r="38" customFormat="false" ht="15" hidden="false" customHeight="false" outlineLevel="0" collapsed="false">
      <c r="B38" s="4" t="s">
        <v>29</v>
      </c>
    </row>
    <row r="39" customFormat="false" ht="15" hidden="false" customHeight="false" outlineLevel="0" collapsed="false">
      <c r="B39" s="4" t="s">
        <v>30</v>
      </c>
    </row>
    <row r="40" customFormat="false" ht="15" hidden="false" customHeight="false" outlineLevel="0" collapsed="false">
      <c r="B40" s="4" t="s">
        <v>31</v>
      </c>
    </row>
    <row r="41" customFormat="false" ht="15" hidden="false" customHeight="false" outlineLevel="0" collapsed="false">
      <c r="B41" s="4" t="s">
        <v>32</v>
      </c>
    </row>
    <row r="42" customFormat="false" ht="15" hidden="false" customHeight="false" outlineLevel="0" collapsed="false">
      <c r="B42" s="4"/>
    </row>
    <row r="43" customFormat="false" ht="15" hidden="false" customHeight="false" outlineLevel="0" collapsed="false">
      <c r="B43" s="4" t="s">
        <v>33</v>
      </c>
    </row>
    <row r="44" customFormat="false" ht="15" hidden="false" customHeight="false" outlineLevel="0" collapsed="false">
      <c r="B44" s="4" t="s">
        <v>34</v>
      </c>
    </row>
    <row r="45" customFormat="false" ht="15" hidden="false" customHeight="false" outlineLevel="0" collapsed="false">
      <c r="B45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62"/>
  </cols>
  <sheetData>
    <row r="2" customFormat="false" ht="17.35" hidden="false" customHeight="false" outlineLevel="0" collapsed="false">
      <c r="B2" s="1" t="s">
        <v>36</v>
      </c>
    </row>
    <row r="4" customFormat="false" ht="15" hidden="false" customHeight="false" outlineLevel="0" collapsed="false">
      <c r="B4" s="3" t="s">
        <v>37</v>
      </c>
    </row>
    <row r="5" customFormat="false" ht="15" hidden="false" customHeight="false" outlineLevel="0" collapsed="false">
      <c r="B5" s="8" t="s">
        <v>38</v>
      </c>
      <c r="C5" s="8" t="s">
        <v>39</v>
      </c>
      <c r="D5" s="8"/>
      <c r="E5" s="8" t="s">
        <v>40</v>
      </c>
    </row>
    <row r="6" customFormat="false" ht="19.4" hidden="false" customHeight="false" outlineLevel="0" collapsed="false">
      <c r="B6" s="9" t="s">
        <v>41</v>
      </c>
      <c r="C6" s="10" t="n">
        <v>3500</v>
      </c>
      <c r="E6" s="11" t="s">
        <v>42</v>
      </c>
    </row>
    <row r="7" customFormat="false" ht="15" hidden="false" customHeight="false" outlineLevel="0" collapsed="false">
      <c r="B7" s="9" t="s">
        <v>43</v>
      </c>
      <c r="C7" s="12" t="n">
        <v>3</v>
      </c>
      <c r="E7" s="11" t="s">
        <v>44</v>
      </c>
    </row>
    <row r="8" customFormat="false" ht="15" hidden="false" customHeight="false" outlineLevel="0" collapsed="false">
      <c r="B8" s="13" t="s">
        <v>45</v>
      </c>
      <c r="C8" s="14" t="n">
        <f aca="false">C6*C7</f>
        <v>10500</v>
      </c>
      <c r="E8" s="11" t="s">
        <v>46</v>
      </c>
    </row>
    <row r="10" customFormat="false" ht="15" hidden="false" customHeight="false" outlineLevel="0" collapsed="false">
      <c r="B10" s="3" t="s">
        <v>47</v>
      </c>
      <c r="E10" s="15" t="s">
        <v>48</v>
      </c>
    </row>
    <row r="11" customFormat="false" ht="15" hidden="false" customHeight="false" outlineLevel="0" collapsed="false">
      <c r="B11" s="8" t="s">
        <v>38</v>
      </c>
      <c r="C11" s="8" t="s">
        <v>49</v>
      </c>
      <c r="D11" s="8"/>
      <c r="E11" s="8" t="s">
        <v>50</v>
      </c>
    </row>
    <row r="12" customFormat="false" ht="15" hidden="false" customHeight="false" outlineLevel="0" collapsed="false">
      <c r="B12" s="9" t="s">
        <v>51</v>
      </c>
      <c r="C12" s="16" t="n">
        <v>900</v>
      </c>
      <c r="E12" s="11" t="s">
        <v>52</v>
      </c>
    </row>
    <row r="13" customFormat="false" ht="15" hidden="false" customHeight="false" outlineLevel="0" collapsed="false">
      <c r="B13" s="9" t="s">
        <v>53</v>
      </c>
      <c r="C13" s="16" t="n">
        <v>700</v>
      </c>
      <c r="E13" s="11" t="s">
        <v>54</v>
      </c>
    </row>
    <row r="14" customFormat="false" ht="15" hidden="false" customHeight="false" outlineLevel="0" collapsed="false">
      <c r="B14" s="9" t="s">
        <v>55</v>
      </c>
      <c r="C14" s="16" t="n">
        <v>80</v>
      </c>
      <c r="E14" s="11" t="s">
        <v>56</v>
      </c>
    </row>
    <row r="15" customFormat="false" ht="15" hidden="false" customHeight="false" outlineLevel="0" collapsed="false">
      <c r="B15" s="9" t="s">
        <v>57</v>
      </c>
      <c r="C15" s="16" t="n">
        <v>130</v>
      </c>
      <c r="E15" s="11" t="s">
        <v>56</v>
      </c>
    </row>
    <row r="16" customFormat="false" ht="15" hidden="false" customHeight="false" outlineLevel="0" collapsed="false">
      <c r="B16" s="9" t="s">
        <v>58</v>
      </c>
      <c r="C16" s="16" t="n">
        <v>400</v>
      </c>
      <c r="E16" s="11" t="s">
        <v>59</v>
      </c>
    </row>
    <row r="17" customFormat="false" ht="15" hidden="false" customHeight="false" outlineLevel="0" collapsed="false">
      <c r="B17" s="9" t="s">
        <v>60</v>
      </c>
      <c r="C17" s="16" t="n">
        <v>300</v>
      </c>
      <c r="E17" s="11" t="s">
        <v>61</v>
      </c>
    </row>
    <row r="18" customFormat="false" ht="15" hidden="false" customHeight="false" outlineLevel="0" collapsed="false">
      <c r="B18" s="9" t="s">
        <v>62</v>
      </c>
      <c r="C18" s="16" t="n">
        <v>200</v>
      </c>
      <c r="E18" s="11" t="s">
        <v>56</v>
      </c>
    </row>
    <row r="19" customFormat="false" ht="15" hidden="false" customHeight="false" outlineLevel="0" collapsed="false">
      <c r="B19" s="9" t="s">
        <v>63</v>
      </c>
      <c r="C19" s="16" t="n">
        <v>100</v>
      </c>
      <c r="E19" s="11" t="s">
        <v>64</v>
      </c>
    </row>
    <row r="20" customFormat="false" ht="19.4" hidden="false" customHeight="false" outlineLevel="0" collapsed="false">
      <c r="B20" s="9" t="s">
        <v>65</v>
      </c>
      <c r="C20" s="16" t="n">
        <v>0</v>
      </c>
      <c r="E20" s="11" t="s">
        <v>66</v>
      </c>
    </row>
    <row r="21" customFormat="false" ht="15" hidden="false" customHeight="false" outlineLevel="0" collapsed="false">
      <c r="B21" s="17" t="s">
        <v>67</v>
      </c>
      <c r="C21" s="18" t="n">
        <f aca="false">SUM(C12:C20)</f>
        <v>2810</v>
      </c>
    </row>
    <row r="22" customFormat="false" ht="15" hidden="false" customHeight="false" outlineLevel="0" collapsed="false">
      <c r="B22" s="9" t="s">
        <v>68</v>
      </c>
      <c r="C22" s="19" t="n">
        <v>0.1</v>
      </c>
      <c r="E22" s="11" t="s">
        <v>69</v>
      </c>
    </row>
    <row r="23" customFormat="false" ht="15" hidden="false" customHeight="false" outlineLevel="0" collapsed="false">
      <c r="B23" s="13" t="s">
        <v>70</v>
      </c>
      <c r="C23" s="14" t="n">
        <f aca="false">C21*(1+C22)</f>
        <v>3091</v>
      </c>
    </row>
    <row r="25" customFormat="false" ht="15" hidden="false" customHeight="false" outlineLevel="0" collapsed="false">
      <c r="B25" s="3" t="s">
        <v>71</v>
      </c>
      <c r="E25" s="15" t="s">
        <v>72</v>
      </c>
    </row>
    <row r="26" customFormat="false" ht="15" hidden="false" customHeight="false" outlineLevel="0" collapsed="false">
      <c r="B26" s="8" t="s">
        <v>38</v>
      </c>
      <c r="C26" s="8" t="s">
        <v>39</v>
      </c>
      <c r="D26" s="8"/>
      <c r="E26" s="8" t="s">
        <v>50</v>
      </c>
    </row>
    <row r="27" customFormat="false" ht="19.4" hidden="false" customHeight="false" outlineLevel="0" collapsed="false">
      <c r="B27" s="9" t="s">
        <v>73</v>
      </c>
      <c r="C27" s="20" t="n">
        <f aca="false">Mix!$D$20</f>
        <v>0.6735</v>
      </c>
      <c r="E27" s="11" t="s">
        <v>74</v>
      </c>
    </row>
    <row r="28" customFormat="false" ht="15" hidden="false" customHeight="false" outlineLevel="0" collapsed="false">
      <c r="B28" s="9" t="s">
        <v>75</v>
      </c>
      <c r="C28" s="19" t="n">
        <v>0.018</v>
      </c>
      <c r="E28" s="11" t="s">
        <v>76</v>
      </c>
    </row>
    <row r="29" customFormat="false" ht="15" hidden="false" customHeight="false" outlineLevel="0" collapsed="false">
      <c r="B29" s="9" t="s">
        <v>77</v>
      </c>
      <c r="C29" s="19" t="n">
        <v>0.015</v>
      </c>
      <c r="E29" s="11" t="s">
        <v>78</v>
      </c>
    </row>
    <row r="30" customFormat="false" ht="15" hidden="false" customHeight="false" outlineLevel="0" collapsed="false">
      <c r="B30" s="9" t="s">
        <v>79</v>
      </c>
      <c r="C30" s="16" t="n">
        <v>3.5</v>
      </c>
      <c r="E30" s="11" t="s">
        <v>80</v>
      </c>
    </row>
    <row r="31" customFormat="false" ht="15" hidden="false" customHeight="false" outlineLevel="0" collapsed="false">
      <c r="B31" s="9" t="s">
        <v>81</v>
      </c>
      <c r="C31" s="16" t="n">
        <v>3</v>
      </c>
      <c r="E31" s="11" t="s">
        <v>82</v>
      </c>
    </row>
    <row r="32" customFormat="false" ht="15" hidden="false" customHeight="false" outlineLevel="0" collapsed="false">
      <c r="B32" s="9" t="s">
        <v>83</v>
      </c>
      <c r="C32" s="19" t="n">
        <v>0.75</v>
      </c>
      <c r="E32" s="11" t="s">
        <v>84</v>
      </c>
    </row>
    <row r="33" customFormat="false" ht="15" hidden="false" customHeight="false" outlineLevel="0" collapsed="false">
      <c r="B33" s="9" t="s">
        <v>85</v>
      </c>
      <c r="C33" s="16" t="n">
        <v>1.2</v>
      </c>
      <c r="E33" s="11" t="s">
        <v>86</v>
      </c>
    </row>
    <row r="35" customFormat="false" ht="15" hidden="false" customHeight="false" outlineLevel="0" collapsed="false">
      <c r="B35" s="3" t="s">
        <v>87</v>
      </c>
      <c r="E35" s="15" t="s">
        <v>88</v>
      </c>
    </row>
    <row r="36" customFormat="false" ht="19.4" hidden="false" customHeight="false" outlineLevel="0" collapsed="false">
      <c r="B36" s="9" t="s">
        <v>89</v>
      </c>
      <c r="C36" s="21" t="n">
        <v>877000</v>
      </c>
      <c r="E36" s="11" t="s">
        <v>90</v>
      </c>
    </row>
    <row r="37" customFormat="false" ht="15" hidden="false" customHeight="false" outlineLevel="0" collapsed="false">
      <c r="B37" s="22" t="s">
        <v>91</v>
      </c>
    </row>
    <row r="38" customFormat="false" ht="46.25" hidden="false" customHeight="false" outlineLevel="0" collapsed="false">
      <c r="B38" s="8" t="s">
        <v>92</v>
      </c>
      <c r="C38" s="8" t="s">
        <v>93</v>
      </c>
      <c r="D38" s="8" t="s">
        <v>94</v>
      </c>
    </row>
    <row r="39" customFormat="false" ht="15" hidden="false" customHeight="false" outlineLevel="0" collapsed="false">
      <c r="B39" s="23" t="n">
        <v>0</v>
      </c>
      <c r="C39" s="24" t="n">
        <v>0.04</v>
      </c>
      <c r="D39" s="23" t="n">
        <v>0</v>
      </c>
    </row>
    <row r="40" customFormat="false" ht="15" hidden="false" customHeight="false" outlineLevel="0" collapsed="false">
      <c r="B40" s="23" t="n">
        <v>180000.01</v>
      </c>
      <c r="C40" s="24" t="n">
        <v>0.073</v>
      </c>
      <c r="D40" s="23" t="n">
        <v>5940</v>
      </c>
    </row>
    <row r="41" customFormat="false" ht="15" hidden="false" customHeight="false" outlineLevel="0" collapsed="false">
      <c r="B41" s="23" t="n">
        <v>360000.01</v>
      </c>
      <c r="C41" s="24" t="n">
        <v>0.095</v>
      </c>
      <c r="D41" s="23" t="n">
        <v>13860</v>
      </c>
    </row>
    <row r="42" customFormat="false" ht="15" hidden="false" customHeight="false" outlineLevel="0" collapsed="false">
      <c r="B42" s="23" t="n">
        <v>720000.01</v>
      </c>
      <c r="C42" s="24" t="n">
        <v>0.107</v>
      </c>
      <c r="D42" s="23" t="n">
        <v>22500</v>
      </c>
    </row>
    <row r="43" customFormat="false" ht="15" hidden="false" customHeight="false" outlineLevel="0" collapsed="false">
      <c r="B43" s="23" t="n">
        <v>1800000.01</v>
      </c>
      <c r="C43" s="24" t="n">
        <v>0.143</v>
      </c>
      <c r="D43" s="23" t="n">
        <v>87300</v>
      </c>
    </row>
    <row r="44" customFormat="false" ht="15" hidden="false" customHeight="false" outlineLevel="0" collapsed="false">
      <c r="B44" s="23" t="n">
        <v>3600000.01</v>
      </c>
      <c r="C44" s="24" t="n">
        <v>0.19</v>
      </c>
      <c r="D44" s="23" t="n">
        <v>378000</v>
      </c>
    </row>
    <row r="45" customFormat="false" ht="15" hidden="false" customHeight="false" outlineLevel="0" collapsed="false">
      <c r="B45" s="9" t="s">
        <v>95</v>
      </c>
      <c r="C45" s="24" t="n">
        <f aca="false">INDEX($C$39:$C$44,MATCH(Premissas!$C$36,$B$39:$B$44,1))</f>
        <v>0.107</v>
      </c>
    </row>
    <row r="46" customFormat="false" ht="15" hidden="false" customHeight="false" outlineLevel="0" collapsed="false">
      <c r="B46" s="9" t="s">
        <v>96</v>
      </c>
      <c r="C46" s="23" t="n">
        <f aca="false">INDEX($D$39:$D$44,MATCH(Premissas!$C$36,$B$39:$B$44,1))</f>
        <v>22500</v>
      </c>
    </row>
    <row r="47" customFormat="false" ht="15" hidden="false" customHeight="false" outlineLevel="0" collapsed="false">
      <c r="B47" s="13" t="s">
        <v>97</v>
      </c>
      <c r="C47" s="25" t="n">
        <f aca="false">IFERROR(MAX(0,((Premissas!$C$36*$C$45)-$C$46)/Premissas!$C$36),0)</f>
        <v>0.0813443557582668</v>
      </c>
      <c r="E47" s="11" t="s">
        <v>98</v>
      </c>
    </row>
    <row r="49" customFormat="false" ht="15" hidden="false" customHeight="false" outlineLevel="0" collapsed="false">
      <c r="B49" s="3" t="s">
        <v>99</v>
      </c>
    </row>
    <row r="50" customFormat="false" ht="15" hidden="false" customHeight="false" outlineLevel="0" collapsed="false">
      <c r="B50" s="8" t="s">
        <v>38</v>
      </c>
      <c r="C50" s="8" t="s">
        <v>39</v>
      </c>
      <c r="D50" s="8"/>
      <c r="E50" s="8" t="s">
        <v>100</v>
      </c>
    </row>
    <row r="51" customFormat="false" ht="15" hidden="false" customHeight="false" outlineLevel="0" collapsed="false">
      <c r="B51" s="9" t="s">
        <v>101</v>
      </c>
      <c r="C51" s="26" t="n">
        <v>30</v>
      </c>
      <c r="E51" s="11" t="s">
        <v>102</v>
      </c>
    </row>
    <row r="52" customFormat="false" ht="19.4" hidden="false" customHeight="false" outlineLevel="0" collapsed="false">
      <c r="B52" s="9" t="s">
        <v>103</v>
      </c>
      <c r="C52" s="26" t="n">
        <v>9</v>
      </c>
      <c r="E52" s="11" t="s">
        <v>104</v>
      </c>
    </row>
    <row r="53" customFormat="false" ht="15" hidden="false" customHeight="false" outlineLevel="0" collapsed="false">
      <c r="B53" s="9" t="s">
        <v>105</v>
      </c>
      <c r="C53" s="16" t="n">
        <v>25</v>
      </c>
      <c r="E53" s="11" t="s">
        <v>106</v>
      </c>
    </row>
    <row r="54" customFormat="false" ht="15" hidden="false" customHeight="false" outlineLevel="0" collapsed="false">
      <c r="B54" s="17" t="s">
        <v>107</v>
      </c>
      <c r="C54" s="10" t="n">
        <v>55</v>
      </c>
      <c r="E54" s="15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58"/>
  </cols>
  <sheetData>
    <row r="2" customFormat="false" ht="17.35" hidden="false" customHeight="false" outlineLevel="0" collapsed="false">
      <c r="B2" s="1" t="s">
        <v>109</v>
      </c>
    </row>
    <row r="3" customFormat="false" ht="15" hidden="false" customHeight="false" outlineLevel="0" collapsed="false">
      <c r="B3" s="27" t="s">
        <v>110</v>
      </c>
    </row>
    <row r="5" customFormat="false" ht="23.85" hidden="false" customHeight="false" outlineLevel="0" collapsed="false">
      <c r="B5" s="8" t="s">
        <v>111</v>
      </c>
      <c r="C5" s="8" t="s">
        <v>112</v>
      </c>
      <c r="D5" s="8" t="s">
        <v>113</v>
      </c>
      <c r="E5" s="8" t="s">
        <v>114</v>
      </c>
      <c r="F5" s="8" t="s">
        <v>115</v>
      </c>
      <c r="G5" s="8" t="s">
        <v>116</v>
      </c>
    </row>
    <row r="6" customFormat="false" ht="15" hidden="false" customHeight="false" outlineLevel="0" collapsed="false">
      <c r="B6" s="9" t="s">
        <v>117</v>
      </c>
      <c r="C6" s="19" t="n">
        <v>0.4</v>
      </c>
      <c r="D6" s="19" t="n">
        <v>0.72</v>
      </c>
      <c r="E6" s="24" t="n">
        <f aca="false">1-D6</f>
        <v>0.28</v>
      </c>
      <c r="F6" s="24" t="n">
        <f aca="false">C6*D6</f>
        <v>0.288</v>
      </c>
      <c r="G6" s="11" t="s">
        <v>118</v>
      </c>
    </row>
    <row r="7" customFormat="false" ht="15" hidden="false" customHeight="false" outlineLevel="0" collapsed="false">
      <c r="B7" s="9" t="s">
        <v>119</v>
      </c>
      <c r="C7" s="19" t="n">
        <v>0.15</v>
      </c>
      <c r="D7" s="19" t="n">
        <v>0.65</v>
      </c>
      <c r="E7" s="24" t="n">
        <f aca="false">1-D7</f>
        <v>0.35</v>
      </c>
      <c r="F7" s="24" t="n">
        <f aca="false">C7*D7</f>
        <v>0.0975</v>
      </c>
      <c r="G7" s="11" t="s">
        <v>120</v>
      </c>
    </row>
    <row r="8" customFormat="false" ht="15" hidden="false" customHeight="false" outlineLevel="0" collapsed="false">
      <c r="B8" s="9" t="s">
        <v>121</v>
      </c>
      <c r="C8" s="19" t="n">
        <v>0.1</v>
      </c>
      <c r="D8" s="19" t="n">
        <v>0.58</v>
      </c>
      <c r="E8" s="24" t="n">
        <f aca="false">1-D8</f>
        <v>0.42</v>
      </c>
      <c r="F8" s="24" t="n">
        <f aca="false">C8*D8</f>
        <v>0.058</v>
      </c>
      <c r="G8" s="11" t="s">
        <v>122</v>
      </c>
    </row>
    <row r="9" customFormat="false" ht="15" hidden="false" customHeight="false" outlineLevel="0" collapsed="false">
      <c r="B9" s="9" t="s">
        <v>123</v>
      </c>
      <c r="C9" s="19" t="n">
        <v>0.12</v>
      </c>
      <c r="D9" s="19" t="n">
        <v>0.62</v>
      </c>
      <c r="E9" s="24" t="n">
        <f aca="false">1-D9</f>
        <v>0.38</v>
      </c>
      <c r="F9" s="24" t="n">
        <f aca="false">C9*D9</f>
        <v>0.0744</v>
      </c>
      <c r="G9" s="11" t="s">
        <v>124</v>
      </c>
    </row>
    <row r="10" customFormat="false" ht="19.4" hidden="false" customHeight="false" outlineLevel="0" collapsed="false">
      <c r="B10" s="9" t="s">
        <v>125</v>
      </c>
      <c r="C10" s="19" t="n">
        <v>0.08</v>
      </c>
      <c r="D10" s="19" t="n">
        <v>0.4</v>
      </c>
      <c r="E10" s="24" t="n">
        <f aca="false">1-D10</f>
        <v>0.6</v>
      </c>
      <c r="F10" s="24" t="n">
        <f aca="false">C10*D10</f>
        <v>0.032</v>
      </c>
      <c r="G10" s="11" t="s">
        <v>126</v>
      </c>
    </row>
    <row r="11" customFormat="false" ht="15" hidden="false" customHeight="false" outlineLevel="0" collapsed="false">
      <c r="B11" s="9" t="s">
        <v>127</v>
      </c>
      <c r="C11" s="19" t="n">
        <v>0.08</v>
      </c>
      <c r="D11" s="19" t="n">
        <v>0.88</v>
      </c>
      <c r="E11" s="24" t="n">
        <f aca="false">1-D11</f>
        <v>0.12</v>
      </c>
      <c r="F11" s="24" t="n">
        <f aca="false">C11*D11</f>
        <v>0.0704</v>
      </c>
      <c r="G11" s="11" t="s">
        <v>128</v>
      </c>
    </row>
    <row r="12" customFormat="false" ht="15" hidden="false" customHeight="false" outlineLevel="0" collapsed="false">
      <c r="B12" s="9" t="s">
        <v>129</v>
      </c>
      <c r="C12" s="19" t="n">
        <v>0.07</v>
      </c>
      <c r="D12" s="19" t="n">
        <v>0.76</v>
      </c>
      <c r="E12" s="24" t="n">
        <f aca="false">1-D12</f>
        <v>0.24</v>
      </c>
      <c r="F12" s="24" t="n">
        <f aca="false">C12*D12</f>
        <v>0.0532</v>
      </c>
      <c r="G12" s="11" t="s">
        <v>130</v>
      </c>
    </row>
    <row r="13" customFormat="false" ht="15" hidden="false" customHeight="false" outlineLevel="0" collapsed="false">
      <c r="B13" s="13" t="s">
        <v>131</v>
      </c>
      <c r="C13" s="25" t="n">
        <f aca="false">SUM(C6:C12)</f>
        <v>1</v>
      </c>
      <c r="D13" s="28"/>
      <c r="E13" s="28"/>
      <c r="F13" s="25" t="n">
        <f aca="false">SUM(F6:F12)</f>
        <v>0.6735</v>
      </c>
      <c r="G13" s="11" t="s">
        <v>132</v>
      </c>
    </row>
    <row r="15" customFormat="false" ht="15" hidden="false" customHeight="false" outlineLevel="0" collapsed="false">
      <c r="B15" s="3" t="s">
        <v>133</v>
      </c>
    </row>
    <row r="16" customFormat="false" ht="15" hidden="false" customHeight="false" outlineLevel="0" collapsed="false">
      <c r="B16" s="29" t="str">
        <f aca="false">IF(ROUND(C13,4)=1,"OK — participações somam 100%","ERRO — as participações somam "&amp;TEXT(C13,"0.0%")&amp;". Corrija antes de usar o modelo.")</f>
        <v>OK — participações somam 100%</v>
      </c>
      <c r="C16" s="29"/>
      <c r="D16" s="29"/>
      <c r="E16" s="29"/>
      <c r="F16" s="29"/>
      <c r="G16" s="29"/>
    </row>
    <row r="19" customFormat="false" ht="15" hidden="false" customHeight="false" outlineLevel="0" collapsed="false">
      <c r="B19" s="30" t="s">
        <v>134</v>
      </c>
      <c r="D19" s="6"/>
    </row>
    <row r="20" customFormat="false" ht="19.4" hidden="false" customHeight="false" outlineLevel="0" collapsed="false">
      <c r="B20" s="13" t="s">
        <v>135</v>
      </c>
      <c r="C20" s="28"/>
      <c r="D20" s="25" t="n">
        <f aca="false">F13</f>
        <v>0.6735</v>
      </c>
      <c r="E20" s="28"/>
      <c r="F20" s="28"/>
      <c r="G20" s="11" t="s">
        <v>136</v>
      </c>
    </row>
    <row r="22" customFormat="false" ht="15" hidden="false" customHeight="false" outlineLevel="0" collapsed="false">
      <c r="B22" s="31" t="s">
        <v>137</v>
      </c>
    </row>
    <row r="23" customFormat="false" ht="15" hidden="false" customHeight="false" outlineLevel="0" collapsed="false">
      <c r="B23" s="31" t="s">
        <v>138</v>
      </c>
    </row>
  </sheetData>
  <mergeCells count="1"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60"/>
  </cols>
  <sheetData>
    <row r="2" customFormat="false" ht="17.35" hidden="false" customHeight="false" outlineLevel="0" collapsed="false">
      <c r="B2" s="1" t="s">
        <v>139</v>
      </c>
    </row>
    <row r="3" customFormat="false" ht="15" hidden="false" customHeight="false" outlineLevel="0" collapsed="false">
      <c r="B3" s="27" t="s">
        <v>140</v>
      </c>
    </row>
    <row r="5" customFormat="false" ht="15" hidden="false" customHeight="false" outlineLevel="0" collapsed="false">
      <c r="B5" s="8" t="s">
        <v>141</v>
      </c>
      <c r="C5" s="8" t="s">
        <v>39</v>
      </c>
      <c r="D5" s="8"/>
      <c r="E5" s="8" t="s">
        <v>142</v>
      </c>
    </row>
    <row r="6" customFormat="false" ht="15" hidden="false" customHeight="false" outlineLevel="0" collapsed="false">
      <c r="B6" s="9" t="s">
        <v>143</v>
      </c>
      <c r="C6" s="32" t="n">
        <f aca="false">Premissas!$C$8</f>
        <v>10500</v>
      </c>
      <c r="E6" s="11" t="s">
        <v>144</v>
      </c>
    </row>
    <row r="7" customFormat="false" ht="15" hidden="false" customHeight="false" outlineLevel="0" collapsed="false">
      <c r="B7" s="9" t="s">
        <v>145</v>
      </c>
      <c r="C7" s="32" t="n">
        <f aca="false">Premissas!$C$23</f>
        <v>3091</v>
      </c>
      <c r="E7" s="11" t="s">
        <v>146</v>
      </c>
    </row>
    <row r="8" customFormat="false" ht="15" hidden="false" customHeight="false" outlineLevel="0" collapsed="false">
      <c r="B8" s="13" t="s">
        <v>147</v>
      </c>
      <c r="C8" s="14" t="n">
        <f aca="false">C6+C7</f>
        <v>13591</v>
      </c>
      <c r="E8" s="11" t="s">
        <v>148</v>
      </c>
    </row>
    <row r="10" customFormat="false" ht="15" hidden="false" customHeight="false" outlineLevel="0" collapsed="false">
      <c r="B10" s="9" t="s">
        <v>149</v>
      </c>
      <c r="C10" s="32" t="n">
        <f aca="false">Premissas!$C$54</f>
        <v>55</v>
      </c>
      <c r="E10" s="11" t="s">
        <v>150</v>
      </c>
    </row>
    <row r="11" customFormat="false" ht="15" hidden="false" customHeight="false" outlineLevel="0" collapsed="false">
      <c r="B11" s="9" t="s">
        <v>151</v>
      </c>
      <c r="C11" s="33" t="n">
        <f aca="false">-C10*Premissas!$C$27</f>
        <v>-37.0425</v>
      </c>
      <c r="E11" s="11" t="s">
        <v>152</v>
      </c>
    </row>
    <row r="12" customFormat="false" ht="15" hidden="false" customHeight="false" outlineLevel="0" collapsed="false">
      <c r="B12" s="9" t="s">
        <v>153</v>
      </c>
      <c r="C12" s="33" t="n">
        <f aca="false">-C10*Premissas!$C$47</f>
        <v>-4.47393956670468</v>
      </c>
      <c r="E12" s="11" t="s">
        <v>154</v>
      </c>
    </row>
    <row r="13" customFormat="false" ht="15" hidden="false" customHeight="false" outlineLevel="0" collapsed="false">
      <c r="B13" s="9" t="s">
        <v>155</v>
      </c>
      <c r="C13" s="33" t="n">
        <f aca="false">-C10*Premissas!$C$28</f>
        <v>-0.99</v>
      </c>
      <c r="E13" s="11"/>
    </row>
    <row r="14" customFormat="false" ht="15" hidden="false" customHeight="false" outlineLevel="0" collapsed="false">
      <c r="B14" s="9" t="s">
        <v>156</v>
      </c>
      <c r="C14" s="33" t="n">
        <f aca="false">-C10*Premissas!$C$29</f>
        <v>-0.825</v>
      </c>
      <c r="E14" s="11"/>
    </row>
    <row r="15" customFormat="false" ht="19.4" hidden="false" customHeight="false" outlineLevel="0" collapsed="false">
      <c r="B15" s="9" t="s">
        <v>157</v>
      </c>
      <c r="C15" s="33" t="n">
        <f aca="false">-(Premissas!$C$30-Premissas!$C$31)*Premissas!$C$32</f>
        <v>-0.375</v>
      </c>
      <c r="E15" s="11" t="s">
        <v>158</v>
      </c>
    </row>
    <row r="16" customFormat="false" ht="15" hidden="false" customHeight="false" outlineLevel="0" collapsed="false">
      <c r="B16" s="9" t="s">
        <v>159</v>
      </c>
      <c r="C16" s="33" t="n">
        <f aca="false">-Premissas!$C$33</f>
        <v>-1.2</v>
      </c>
      <c r="E16" s="11"/>
    </row>
    <row r="17" customFormat="false" ht="19.4" hidden="false" customHeight="false" outlineLevel="0" collapsed="false">
      <c r="B17" s="13" t="s">
        <v>160</v>
      </c>
      <c r="C17" s="14" t="n">
        <f aca="false">SUM(C10:C16)</f>
        <v>10.0935604332953</v>
      </c>
      <c r="E17" s="11" t="s">
        <v>161</v>
      </c>
    </row>
    <row r="18" customFormat="false" ht="15" hidden="false" customHeight="false" outlineLevel="0" collapsed="false">
      <c r="B18" s="9" t="s">
        <v>162</v>
      </c>
      <c r="C18" s="24" t="n">
        <f aca="false">IFERROR(Cascata!$C$17/C10,0)</f>
        <v>0.18351928060537</v>
      </c>
      <c r="E18" s="11" t="s">
        <v>163</v>
      </c>
    </row>
    <row r="20" customFormat="false" ht="15" hidden="false" customHeight="false" outlineLevel="0" collapsed="false">
      <c r="B20" s="3" t="s">
        <v>164</v>
      </c>
    </row>
    <row r="21" customFormat="false" ht="15" hidden="false" customHeight="false" outlineLevel="0" collapsed="false">
      <c r="B21" s="8" t="s">
        <v>165</v>
      </c>
      <c r="C21" s="8" t="s">
        <v>39</v>
      </c>
      <c r="D21" s="8"/>
      <c r="E21" s="8" t="s">
        <v>166</v>
      </c>
    </row>
    <row r="22" customFormat="false" ht="15" hidden="false" customHeight="false" outlineLevel="0" collapsed="false">
      <c r="B22" s="29" t="s">
        <v>167</v>
      </c>
      <c r="C22" s="34" t="n">
        <f aca="false">IFERROR(Cascata!$C$8/Cascata!$C$17,0)</f>
        <v>1346.50206830563</v>
      </c>
      <c r="E22" s="11" t="s">
        <v>168</v>
      </c>
    </row>
    <row r="23" customFormat="false" ht="15" hidden="false" customHeight="false" outlineLevel="0" collapsed="false">
      <c r="B23" s="29" t="s">
        <v>169</v>
      </c>
      <c r="C23" s="35" t="n">
        <f aca="false">Cascata!$C$22*C10</f>
        <v>74057.6137568095</v>
      </c>
      <c r="E23" s="11" t="s">
        <v>170</v>
      </c>
    </row>
    <row r="24" customFormat="false" ht="19.4" hidden="false" customHeight="false" outlineLevel="0" collapsed="false">
      <c r="B24" s="9" t="s">
        <v>171</v>
      </c>
      <c r="C24" s="23" t="n">
        <f aca="false">Cascata!$C$23*12</f>
        <v>888691.365081714</v>
      </c>
      <c r="E24" s="11" t="s">
        <v>172</v>
      </c>
    </row>
    <row r="25" customFormat="false" ht="15" hidden="false" customHeight="false" outlineLevel="0" collapsed="false">
      <c r="B25" s="29" t="s">
        <v>173</v>
      </c>
      <c r="C25" s="36" t="n">
        <f aca="false">IFERROR(Cascata!$C$22/Premissas!$C$51,0)</f>
        <v>44.8834022768542</v>
      </c>
      <c r="E25" s="11" t="s">
        <v>174</v>
      </c>
    </row>
    <row r="26" customFormat="false" ht="19.4" hidden="false" customHeight="false" outlineLevel="0" collapsed="false">
      <c r="B26" s="9" t="s">
        <v>175</v>
      </c>
      <c r="C26" s="37" t="n">
        <f aca="false">IFERROR(Cascata!$C$25/Premissas!$C$52,0)</f>
        <v>4.98704469742825</v>
      </c>
      <c r="E26" s="11" t="s">
        <v>176</v>
      </c>
    </row>
    <row r="27" customFormat="false" ht="15" hidden="false" customHeight="false" outlineLevel="0" collapsed="false">
      <c r="B27" s="9" t="s">
        <v>177</v>
      </c>
      <c r="C27" s="33" t="n">
        <f aca="false">IFERROR(Cascata!$C$23/Premissas!$C$51,0)</f>
        <v>2468.58712522698</v>
      </c>
      <c r="E27" s="11"/>
    </row>
    <row r="29" customFormat="false" ht="15" hidden="false" customHeight="false" outlineLevel="0" collapsed="false">
      <c r="B29" s="3" t="s">
        <v>178</v>
      </c>
    </row>
    <row r="30" customFormat="false" ht="15" hidden="false" customHeight="false" outlineLevel="0" collapsed="false">
      <c r="B30" s="9" t="s">
        <v>179</v>
      </c>
      <c r="C30" s="38" t="n">
        <f aca="false">IFERROR(Premissas!$C$23/Cascata!$C$17,0)</f>
        <v>306.234853442182</v>
      </c>
      <c r="E30" s="11" t="s">
        <v>180</v>
      </c>
    </row>
    <row r="31" customFormat="false" ht="15" hidden="false" customHeight="false" outlineLevel="0" collapsed="false">
      <c r="B31" s="9" t="s">
        <v>181</v>
      </c>
      <c r="C31" s="37" t="n">
        <f aca="false">IFERROR(C30/Premissas!$C$51,0)</f>
        <v>10.2078284480727</v>
      </c>
      <c r="E31" s="11" t="s">
        <v>182</v>
      </c>
    </row>
    <row r="32" customFormat="false" ht="15" hidden="false" customHeight="false" outlineLevel="0" collapsed="false">
      <c r="B32" s="9" t="s">
        <v>183</v>
      </c>
      <c r="C32" s="23" t="n">
        <f aca="false">C30*C10</f>
        <v>16842.91693932</v>
      </c>
      <c r="E3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62"/>
  </cols>
  <sheetData>
    <row r="2" customFormat="false" ht="17.35" hidden="false" customHeight="false" outlineLevel="0" collapsed="false">
      <c r="B2" s="1" t="s">
        <v>184</v>
      </c>
    </row>
    <row r="3" customFormat="false" ht="15" hidden="false" customHeight="false" outlineLevel="0" collapsed="false">
      <c r="B3" s="27" t="s">
        <v>185</v>
      </c>
    </row>
    <row r="5" customFormat="false" ht="15" hidden="false" customHeight="false" outlineLevel="0" collapsed="false">
      <c r="B5" s="3" t="s">
        <v>186</v>
      </c>
    </row>
    <row r="6" customFormat="false" ht="15" hidden="false" customHeight="false" outlineLevel="0" collapsed="false">
      <c r="B6" s="8" t="s">
        <v>38</v>
      </c>
      <c r="C6" s="8" t="s">
        <v>39</v>
      </c>
      <c r="D6" s="8"/>
      <c r="E6" s="8" t="s">
        <v>187</v>
      </c>
    </row>
    <row r="7" customFormat="false" ht="19.4" hidden="false" customHeight="false" outlineLevel="0" collapsed="false">
      <c r="B7" s="9" t="s">
        <v>188</v>
      </c>
      <c r="C7" s="26" t="n">
        <v>3958</v>
      </c>
      <c r="E7" s="11" t="s">
        <v>189</v>
      </c>
    </row>
    <row r="8" customFormat="false" ht="19.4" hidden="false" customHeight="false" outlineLevel="0" collapsed="false">
      <c r="B8" s="9" t="s">
        <v>190</v>
      </c>
      <c r="C8" s="39" t="n">
        <v>3.1</v>
      </c>
      <c r="E8" s="11" t="s">
        <v>191</v>
      </c>
    </row>
    <row r="9" customFormat="false" ht="15" hidden="false" customHeight="false" outlineLevel="0" collapsed="false">
      <c r="B9" s="9" t="s">
        <v>192</v>
      </c>
      <c r="C9" s="38" t="n">
        <f aca="false">IFERROR(C7/C8,0)</f>
        <v>1276.77419354839</v>
      </c>
      <c r="E9" s="11"/>
    </row>
    <row r="10" customFormat="false" ht="19.4" hidden="false" customHeight="false" outlineLevel="0" collapsed="false">
      <c r="B10" s="9" t="s">
        <v>193</v>
      </c>
      <c r="C10" s="19" t="n">
        <v>0.8</v>
      </c>
      <c r="E10" s="11" t="s">
        <v>194</v>
      </c>
    </row>
    <row r="11" customFormat="false" ht="15" hidden="false" customHeight="false" outlineLevel="0" collapsed="false">
      <c r="B11" s="13" t="s">
        <v>195</v>
      </c>
      <c r="C11" s="40" t="n">
        <f aca="false">C9*C10</f>
        <v>1021.41935483871</v>
      </c>
    </row>
    <row r="13" customFormat="false" ht="15" hidden="false" customHeight="false" outlineLevel="0" collapsed="false">
      <c r="B13" s="3" t="s">
        <v>196</v>
      </c>
    </row>
    <row r="14" customFormat="false" ht="15" hidden="false" customHeight="false" outlineLevel="0" collapsed="false">
      <c r="B14" s="8" t="s">
        <v>38</v>
      </c>
      <c r="C14" s="8" t="s">
        <v>39</v>
      </c>
      <c r="D14" s="8"/>
      <c r="E14" s="8" t="s">
        <v>166</v>
      </c>
    </row>
    <row r="15" customFormat="false" ht="15" hidden="false" customHeight="false" outlineLevel="0" collapsed="false">
      <c r="B15" s="9" t="s">
        <v>197</v>
      </c>
      <c r="C15" s="41" t="n">
        <f aca="false">Cascata!$C$22</f>
        <v>1346.50206830563</v>
      </c>
      <c r="E15" s="11" t="s">
        <v>198</v>
      </c>
    </row>
    <row r="16" customFormat="false" ht="19.4" hidden="false" customHeight="false" outlineLevel="0" collapsed="false">
      <c r="B16" s="13" t="s">
        <v>199</v>
      </c>
      <c r="C16" s="42" t="n">
        <f aca="false">IFERROR(C15/Demanda!$C$11,0)</f>
        <v>1.31826566818704</v>
      </c>
      <c r="E16" s="11" t="s">
        <v>200</v>
      </c>
    </row>
    <row r="17" customFormat="false" ht="15" hidden="false" customHeight="false" outlineLevel="0" collapsed="false">
      <c r="B17" s="13" t="s">
        <v>201</v>
      </c>
      <c r="C17" s="14" t="n">
        <f aca="false">IFERROR(Cascata!$C$23/Demanda!$C$11,0)</f>
        <v>72.5046117502872</v>
      </c>
      <c r="E17" s="11" t="s">
        <v>202</v>
      </c>
    </row>
    <row r="19" customFormat="false" ht="15" hidden="false" customHeight="false" outlineLevel="0" collapsed="false">
      <c r="B19" s="3" t="s">
        <v>203</v>
      </c>
    </row>
    <row r="20" customFormat="false" ht="15" hidden="false" customHeight="false" outlineLevel="0" collapsed="false">
      <c r="B20" s="8" t="s">
        <v>38</v>
      </c>
      <c r="C20" s="8" t="s">
        <v>39</v>
      </c>
      <c r="D20" s="8"/>
      <c r="E20" s="8" t="s">
        <v>204</v>
      </c>
    </row>
    <row r="21" customFormat="false" ht="15" hidden="false" customHeight="false" outlineLevel="0" collapsed="false">
      <c r="B21" s="9" t="s">
        <v>205</v>
      </c>
      <c r="C21" s="16" t="n">
        <v>20995.06</v>
      </c>
      <c r="E21" s="11" t="s">
        <v>206</v>
      </c>
    </row>
    <row r="22" customFormat="false" ht="19.4" hidden="false" customHeight="false" outlineLevel="0" collapsed="false">
      <c r="B22" s="9" t="s">
        <v>207</v>
      </c>
      <c r="C22" s="33" t="n">
        <f aca="false">C21/12</f>
        <v>1749.58833333333</v>
      </c>
      <c r="E22" s="11" t="s">
        <v>208</v>
      </c>
    </row>
    <row r="23" customFormat="false" ht="15" hidden="false" customHeight="false" outlineLevel="0" collapsed="false">
      <c r="B23" s="9" t="s">
        <v>209</v>
      </c>
      <c r="C23" s="33" t="n">
        <f aca="false">C22*C8</f>
        <v>5423.72383333333</v>
      </c>
      <c r="E23" s="11" t="s">
        <v>210</v>
      </c>
    </row>
    <row r="24" customFormat="false" ht="28.35" hidden="false" customHeight="false" outlineLevel="0" collapsed="false">
      <c r="B24" s="13" t="s">
        <v>211</v>
      </c>
      <c r="C24" s="25" t="n">
        <f aca="false">IFERROR(C17/C23,0)</f>
        <v>0.0133680500663927</v>
      </c>
      <c r="E24" s="11" t="s">
        <v>212</v>
      </c>
    </row>
    <row r="26" customFormat="false" ht="15" hidden="false" customHeight="false" outlineLevel="0" collapsed="false">
      <c r="B26" s="3" t="s">
        <v>213</v>
      </c>
    </row>
    <row r="27" customFormat="false" ht="31.5" hidden="false" customHeight="true" outlineLevel="0" collapsed="false">
      <c r="B27" s="43" t="str">
        <f aca="false">IF(C24&gt;0.05,"INVIÁVEL COMO ESTÁ — a meta exige mais de 5% do orçamento de cada domicílio. Reduza a retirada, aumente o ticket ou amplie o raio de entrega.",IF(C24&gt;0.03,"ESTICADO — exige entre 3% e 5% do orçamento de cada domicílio. Possível, mas depende de execução muito boa e de captar público de fora da cidade.","PLAUSÍVEL — exige menos de 3% do orçamento de cada domicílio. Dentro do que uma conveniência costuma capturar."))</f>
        <v>PLAUSÍVEL — exige menos de 3% do orçamento de cada domicílio. Dentro do que uma conveniência costuma capturar.</v>
      </c>
      <c r="C27" s="43"/>
      <c r="D27" s="43"/>
      <c r="E27" s="43"/>
    </row>
    <row r="29" customFormat="false" ht="27.75" hidden="false" customHeight="true" outlineLevel="0" collapsed="false">
      <c r="B29" s="44" t="str">
        <f aca="false">IF(Demanda!$C$16&gt;4,"ALERTA DE FREQUÊNCIA: o modelo exige mais de 4 compras por domicílio por mês. Isso pressupõe um hábito de recompra muito alto para uma cidade deste porte.","Frequência exigida por domicílio dentro de faixa defensável.")</f>
        <v>Frequência exigida por domicílio dentro de faixa defensável.</v>
      </c>
      <c r="C29" s="44"/>
      <c r="D29" s="44"/>
      <c r="E29" s="44"/>
    </row>
    <row r="32" customFormat="false" ht="15" hidden="false" customHeight="false" outlineLevel="0" collapsed="false">
      <c r="B32" s="3" t="s">
        <v>214</v>
      </c>
    </row>
    <row r="33" customFormat="false" ht="25.5" hidden="false" customHeight="true" outlineLevel="0" collapsed="false">
      <c r="B33" s="45" t="s">
        <v>215</v>
      </c>
      <c r="C33" s="45"/>
      <c r="D33" s="45"/>
      <c r="E33" s="45"/>
    </row>
    <row r="34" customFormat="false" ht="25.5" hidden="false" customHeight="true" outlineLevel="0" collapsed="false">
      <c r="B34" s="45" t="s">
        <v>216</v>
      </c>
      <c r="C34" s="45"/>
      <c r="D34" s="45"/>
      <c r="E34" s="45"/>
    </row>
    <row r="35" customFormat="false" ht="25.5" hidden="false" customHeight="true" outlineLevel="0" collapsed="false">
      <c r="B35" s="45" t="s">
        <v>217</v>
      </c>
      <c r="C35" s="45"/>
      <c r="D35" s="45"/>
      <c r="E35" s="45"/>
    </row>
    <row r="36" customFormat="false" ht="25.5" hidden="false" customHeight="true" outlineLevel="0" collapsed="false">
      <c r="B36" s="45" t="s">
        <v>218</v>
      </c>
      <c r="C36" s="45"/>
      <c r="D36" s="45"/>
      <c r="E36" s="45"/>
    </row>
    <row r="37" customFormat="false" ht="25.5" hidden="false" customHeight="true" outlineLevel="0" collapsed="false">
      <c r="B37" s="45" t="s">
        <v>219</v>
      </c>
      <c r="C37" s="45"/>
      <c r="D37" s="45"/>
      <c r="E37" s="45"/>
    </row>
    <row r="39" customFormat="false" ht="27.75" hidden="false" customHeight="true" outlineLevel="0" collapsed="false">
      <c r="B39" s="46" t="s">
        <v>220</v>
      </c>
      <c r="C39" s="46"/>
      <c r="D39" s="46"/>
      <c r="E39" s="46"/>
    </row>
  </sheetData>
  <mergeCells count="8">
    <mergeCell ref="B27:E27"/>
    <mergeCell ref="B29:E29"/>
    <mergeCell ref="B33:E33"/>
    <mergeCell ref="B34:E34"/>
    <mergeCell ref="B35:E35"/>
    <mergeCell ref="B36:E36"/>
    <mergeCell ref="B37:E37"/>
    <mergeCell ref="B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</cols>
  <sheetData>
    <row r="2" customFormat="false" ht="17.35" hidden="false" customHeight="false" outlineLevel="0" collapsed="false">
      <c r="B2" s="1" t="s">
        <v>221</v>
      </c>
    </row>
    <row r="3" customFormat="false" ht="15" hidden="false" customHeight="false" outlineLevel="0" collapsed="false">
      <c r="B3" s="27" t="s">
        <v>222</v>
      </c>
    </row>
    <row r="5" customFormat="false" ht="23.85" hidden="false" customHeight="false" outlineLevel="0" collapsed="false">
      <c r="B5" s="8" t="s">
        <v>223</v>
      </c>
      <c r="C5" s="8" t="s">
        <v>224</v>
      </c>
      <c r="D5" s="8" t="s">
        <v>225</v>
      </c>
      <c r="E5" s="8" t="s">
        <v>226</v>
      </c>
      <c r="F5" s="8" t="s">
        <v>227</v>
      </c>
      <c r="G5" s="8" t="s">
        <v>228</v>
      </c>
      <c r="H5" s="8" t="s">
        <v>229</v>
      </c>
    </row>
    <row r="6" customFormat="false" ht="15" hidden="false" customHeight="false" outlineLevel="0" collapsed="false">
      <c r="B6" s="16" t="n">
        <v>35</v>
      </c>
      <c r="C6" s="33" t="n">
        <f aca="false">B6*(1-Premissas!$C$27-Premissas!$C$47-Premissas!$C$28-Premissas!$C$29)-(Premissas!$C$30-Premissas!$C$31)*Premissas!$C$32-Premissas!$C$33</f>
        <v>5.85044754846066</v>
      </c>
      <c r="D6" s="38" t="n">
        <f aca="false">IFERROR(Cascata!$C$8/C6,0)</f>
        <v>2323.07013906585</v>
      </c>
      <c r="E6" s="37" t="n">
        <f aca="false">IFERROR(D6/Premissas!$C$51,0)</f>
        <v>77.4356713021952</v>
      </c>
      <c r="F6" s="23" t="n">
        <f aca="false">D6*B6</f>
        <v>81307.4548673049</v>
      </c>
      <c r="G6" s="37" t="n">
        <f aca="false">IFERROR(D6/Demanda!$C$11,0)</f>
        <v>2.27435492392122</v>
      </c>
      <c r="H6" s="24" t="n">
        <f aca="false">IFERROR(F6/Demanda!$C$11/Demanda!$C$23,0)</f>
        <v>0.0146767100950124</v>
      </c>
    </row>
    <row r="7" customFormat="false" ht="15" hidden="false" customHeight="false" outlineLevel="0" collapsed="false">
      <c r="B7" s="16" t="n">
        <v>45</v>
      </c>
      <c r="C7" s="33" t="n">
        <f aca="false">B7*(1-Premissas!$C$27-Premissas!$C$47-Premissas!$C$28-Premissas!$C$29)-(Premissas!$C$30-Premissas!$C$31)*Premissas!$C$32-Premissas!$C$33</f>
        <v>7.972003990878</v>
      </c>
      <c r="D7" s="38" t="n">
        <f aca="false">IFERROR(Cascata!$C$8/C7,0)</f>
        <v>1704.84109335013</v>
      </c>
      <c r="E7" s="37" t="n">
        <f aca="false">IFERROR(D7/Premissas!$C$51,0)</f>
        <v>56.8280364450042</v>
      </c>
      <c r="F7" s="23" t="n">
        <f aca="false">D7*B7</f>
        <v>76717.8492007556</v>
      </c>
      <c r="G7" s="37" t="n">
        <f aca="false">IFERROR(D7/Demanda!$C$11,0)</f>
        <v>1.66909025688018</v>
      </c>
      <c r="H7" s="24" t="n">
        <f aca="false">IFERROR(F7/Demanda!$C$11/Demanda!$C$23,0)</f>
        <v>0.013848245940916</v>
      </c>
    </row>
    <row r="8" customFormat="false" ht="15" hidden="false" customHeight="false" outlineLevel="0" collapsed="false">
      <c r="B8" s="16" t="n">
        <v>55</v>
      </c>
      <c r="C8" s="33" t="n">
        <f aca="false">B8*(1-Premissas!$C$27-Premissas!$C$47-Premissas!$C$28-Premissas!$C$29)-(Premissas!$C$30-Premissas!$C$31)*Premissas!$C$32-Premissas!$C$33</f>
        <v>10.0935604332953</v>
      </c>
      <c r="D8" s="38" t="n">
        <f aca="false">IFERROR(Cascata!$C$8/C8,0)</f>
        <v>1346.50206830563</v>
      </c>
      <c r="E8" s="37" t="n">
        <f aca="false">IFERROR(D8/Premissas!$C$51,0)</f>
        <v>44.8834022768542</v>
      </c>
      <c r="F8" s="23" t="n">
        <f aca="false">D8*B8</f>
        <v>74057.6137568095</v>
      </c>
      <c r="G8" s="37" t="n">
        <f aca="false">IFERROR(D8/Demanda!$C$11,0)</f>
        <v>1.31826566818704</v>
      </c>
      <c r="H8" s="24" t="n">
        <f aca="false">IFERROR(F8/Demanda!$C$11/Demanda!$C$23,0)</f>
        <v>0.0133680500663927</v>
      </c>
    </row>
    <row r="9" customFormat="false" ht="15" hidden="false" customHeight="false" outlineLevel="0" collapsed="false">
      <c r="B9" s="16" t="n">
        <v>65</v>
      </c>
      <c r="C9" s="33" t="n">
        <f aca="false">B9*(1-Premissas!$C$27-Premissas!$C$47-Premissas!$C$28-Premissas!$C$29)-(Premissas!$C$30-Premissas!$C$31)*Premissas!$C$32-Premissas!$C$33</f>
        <v>12.2151168757127</v>
      </c>
      <c r="D9" s="38" t="n">
        <f aca="false">IFERROR(Cascata!$C$8/C9,0)</f>
        <v>1112.63773718146</v>
      </c>
      <c r="E9" s="37" t="n">
        <f aca="false">IFERROR(D9/Premissas!$C$51,0)</f>
        <v>37.0879245727153</v>
      </c>
      <c r="F9" s="23" t="n">
        <f aca="false">D9*B9</f>
        <v>72321.4529167949</v>
      </c>
      <c r="G9" s="37" t="n">
        <f aca="false">IFERROR(D9/Demanda!$C$11,0)</f>
        <v>1.08930551581055</v>
      </c>
      <c r="H9" s="24" t="n">
        <f aca="false">IFERROR(F9/Demanda!$C$11/Demanda!$C$23,0)</f>
        <v>0.0130546577782096</v>
      </c>
    </row>
    <row r="10" customFormat="false" ht="15" hidden="false" customHeight="false" outlineLevel="0" collapsed="false">
      <c r="B10" s="16" t="n">
        <v>75</v>
      </c>
      <c r="C10" s="33" t="n">
        <f aca="false">B10*(1-Premissas!$C$27-Premissas!$C$47-Premissas!$C$28-Premissas!$C$29)-(Premissas!$C$30-Premissas!$C$31)*Premissas!$C$32-Premissas!$C$33</f>
        <v>14.33667331813</v>
      </c>
      <c r="D10" s="38" t="n">
        <f aca="false">IFERROR(Cascata!$C$8/C10,0)</f>
        <v>947.988399987672</v>
      </c>
      <c r="E10" s="37" t="n">
        <f aca="false">IFERROR(D10/Premissas!$C$51,0)</f>
        <v>31.5996133329224</v>
      </c>
      <c r="F10" s="23" t="n">
        <f aca="false">D10*B10</f>
        <v>71099.1299990754</v>
      </c>
      <c r="G10" s="37" t="n">
        <f aca="false">IFERROR(D10/Demanda!$C$11,0)</f>
        <v>0.928108906001068</v>
      </c>
      <c r="H10" s="24" t="n">
        <f aca="false">IFERROR(F10/Demanda!$C$11/Demanda!$C$23,0)</f>
        <v>0.0128340177503654</v>
      </c>
    </row>
    <row r="11" customFormat="false" ht="15" hidden="false" customHeight="false" outlineLevel="0" collapsed="false">
      <c r="B11" s="16" t="n">
        <v>90</v>
      </c>
      <c r="C11" s="33" t="n">
        <f aca="false">B11*(1-Premissas!$C$27-Premissas!$C$47-Premissas!$C$28-Premissas!$C$29)-(Premissas!$C$30-Premissas!$C$31)*Premissas!$C$32-Premissas!$C$33</f>
        <v>17.519007981756</v>
      </c>
      <c r="D11" s="38" t="n">
        <f aca="false">IFERROR(Cascata!$C$8/C11,0)</f>
        <v>775.785935719274</v>
      </c>
      <c r="E11" s="37" t="n">
        <f aca="false">IFERROR(D11/Premissas!$C$51,0)</f>
        <v>25.8595311906425</v>
      </c>
      <c r="F11" s="23" t="n">
        <f aca="false">D11*B11</f>
        <v>69820.7342147347</v>
      </c>
      <c r="G11" s="37" t="n">
        <f aca="false">IFERROR(D11/Demanda!$C$11,0)</f>
        <v>0.759517559603887</v>
      </c>
      <c r="H11" s="24" t="n">
        <f aca="false">IFERROR(F11/Demanda!$C$11/Demanda!$C$23,0)</f>
        <v>0.0126032560773543</v>
      </c>
    </row>
    <row r="12" customFormat="false" ht="15" hidden="false" customHeight="false" outlineLevel="0" collapsed="false">
      <c r="B12" s="16" t="n">
        <v>110</v>
      </c>
      <c r="C12" s="33" t="n">
        <f aca="false">B12*(1-Premissas!$C$27-Premissas!$C$47-Premissas!$C$28-Premissas!$C$29)-(Premissas!$C$30-Premissas!$C$31)*Premissas!$C$32-Premissas!$C$33</f>
        <v>21.7621208665907</v>
      </c>
      <c r="D12" s="38" t="n">
        <f aca="false">IFERROR(Cascata!$C$8/C12,0)</f>
        <v>624.525526869258</v>
      </c>
      <c r="E12" s="37" t="n">
        <f aca="false">IFERROR(D12/Premissas!$C$51,0)</f>
        <v>20.8175175623086</v>
      </c>
      <c r="F12" s="23" t="n">
        <f aca="false">D12*B12</f>
        <v>68697.8079556184</v>
      </c>
      <c r="G12" s="37" t="n">
        <f aca="false">IFERROR(D12/Demanda!$C$11,0)</f>
        <v>0.611429109807573</v>
      </c>
      <c r="H12" s="24" t="n">
        <f aca="false">IFERROR(F12/Demanda!$C$11/Demanda!$C$23,0)</f>
        <v>0.0124005580198389</v>
      </c>
    </row>
    <row r="14" customFormat="false" ht="15" hidden="false" customHeight="false" outlineLevel="0" collapsed="false">
      <c r="B14" s="3" t="s">
        <v>230</v>
      </c>
    </row>
    <row r="15" customFormat="false" ht="24" hidden="false" customHeight="true" outlineLevel="0" collapsed="false">
      <c r="B15" s="45" t="s">
        <v>231</v>
      </c>
      <c r="C15" s="45"/>
      <c r="D15" s="45"/>
      <c r="E15" s="45"/>
      <c r="F15" s="45"/>
      <c r="G15" s="45"/>
      <c r="H15" s="45"/>
    </row>
    <row r="16" customFormat="false" ht="24" hidden="false" customHeight="true" outlineLevel="0" collapsed="false">
      <c r="B16" s="45" t="s">
        <v>232</v>
      </c>
      <c r="C16" s="45"/>
      <c r="D16" s="45"/>
      <c r="E16" s="45"/>
      <c r="F16" s="45"/>
      <c r="G16" s="45"/>
      <c r="H16" s="45"/>
    </row>
    <row r="17" customFormat="false" ht="24" hidden="false" customHeight="true" outlineLevel="0" collapsed="false">
      <c r="B17" s="45" t="s">
        <v>233</v>
      </c>
      <c r="C17" s="45"/>
      <c r="D17" s="45"/>
      <c r="E17" s="45"/>
      <c r="F17" s="45"/>
      <c r="G17" s="45"/>
      <c r="H17" s="45"/>
    </row>
    <row r="19" customFormat="false" ht="15" hidden="false" customHeight="false" outlineLevel="0" collapsed="false">
      <c r="B19" s="3" t="s">
        <v>234</v>
      </c>
    </row>
    <row r="20" customFormat="false" ht="23.85" hidden="false" customHeight="false" outlineLevel="0" collapsed="false">
      <c r="B20" s="8" t="s">
        <v>235</v>
      </c>
      <c r="C20" s="8" t="s">
        <v>236</v>
      </c>
      <c r="D20" s="8" t="s">
        <v>237</v>
      </c>
      <c r="E20" s="8" t="s">
        <v>225</v>
      </c>
      <c r="F20" s="8" t="s">
        <v>226</v>
      </c>
      <c r="G20" s="8" t="s">
        <v>227</v>
      </c>
      <c r="H20" s="8" t="s">
        <v>229</v>
      </c>
    </row>
    <row r="21" customFormat="false" ht="15" hidden="false" customHeight="false" outlineLevel="0" collapsed="false">
      <c r="B21" s="16" t="n">
        <v>1500</v>
      </c>
      <c r="C21" s="33" t="n">
        <f aca="false">B21*Premissas!$C$7</f>
        <v>4500</v>
      </c>
      <c r="D21" s="33" t="n">
        <f aca="false">C21+Premissas!$C$23</f>
        <v>7591</v>
      </c>
      <c r="E21" s="38" t="n">
        <f aca="false">IFERROR(D21/Cascata!$C$17,0)</f>
        <v>752.06365981223</v>
      </c>
      <c r="F21" s="37" t="n">
        <f aca="false">IFERROR(E21/Premissas!$C$51,0)</f>
        <v>25.0687886604077</v>
      </c>
      <c r="G21" s="23" t="n">
        <f aca="false">E21*Premissas!$C$54</f>
        <v>41363.5012896726</v>
      </c>
      <c r="H21" s="24" t="n">
        <f aca="false">IFERROR(G21/Demanda!$C$11/Demanda!$C$23,0)</f>
        <v>0.00746647546567484</v>
      </c>
    </row>
    <row r="22" customFormat="false" ht="15" hidden="false" customHeight="false" outlineLevel="0" collapsed="false">
      <c r="B22" s="16" t="n">
        <v>2000</v>
      </c>
      <c r="C22" s="33" t="n">
        <f aca="false">B22*Premissas!$C$7</f>
        <v>6000</v>
      </c>
      <c r="D22" s="33" t="n">
        <f aca="false">C22+Premissas!$C$23</f>
        <v>9091</v>
      </c>
      <c r="E22" s="38" t="n">
        <f aca="false">IFERROR(D22/Cascata!$C$17,0)</f>
        <v>900.673261935579</v>
      </c>
      <c r="F22" s="37" t="n">
        <f aca="false">IFERROR(E22/Premissas!$C$51,0)</f>
        <v>30.0224420645193</v>
      </c>
      <c r="G22" s="23" t="n">
        <f aca="false">E22*Premissas!$C$54</f>
        <v>49537.0294064568</v>
      </c>
      <c r="H22" s="24" t="n">
        <f aca="false">IFERROR(G22/Demanda!$C$11/Demanda!$C$23,0)</f>
        <v>0.0089418691158543</v>
      </c>
    </row>
    <row r="23" customFormat="false" ht="15" hidden="false" customHeight="false" outlineLevel="0" collapsed="false">
      <c r="B23" s="16" t="n">
        <v>2500</v>
      </c>
      <c r="C23" s="33" t="n">
        <f aca="false">B23*Premissas!$C$7</f>
        <v>7500</v>
      </c>
      <c r="D23" s="33" t="n">
        <f aca="false">C23+Premissas!$C$23</f>
        <v>10591</v>
      </c>
      <c r="E23" s="38" t="n">
        <f aca="false">IFERROR(D23/Cascata!$C$17,0)</f>
        <v>1049.28286405893</v>
      </c>
      <c r="F23" s="37" t="n">
        <f aca="false">IFERROR(E23/Premissas!$C$51,0)</f>
        <v>34.9760954686309</v>
      </c>
      <c r="G23" s="23" t="n">
        <f aca="false">E23*Premissas!$C$54</f>
        <v>57710.5575232411</v>
      </c>
      <c r="H23" s="24" t="n">
        <f aca="false">IFERROR(G23/Demanda!$C$11/Demanda!$C$23,0)</f>
        <v>0.0104172627660338</v>
      </c>
    </row>
    <row r="24" customFormat="false" ht="15" hidden="false" customHeight="false" outlineLevel="0" collapsed="false">
      <c r="B24" s="16" t="n">
        <v>3000</v>
      </c>
      <c r="C24" s="33" t="n">
        <f aca="false">B24*Premissas!$C$7</f>
        <v>9000</v>
      </c>
      <c r="D24" s="33" t="n">
        <f aca="false">C24+Premissas!$C$23</f>
        <v>12091</v>
      </c>
      <c r="E24" s="38" t="n">
        <f aca="false">IFERROR(D24/Cascata!$C$17,0)</f>
        <v>1197.89246618228</v>
      </c>
      <c r="F24" s="37" t="n">
        <f aca="false">IFERROR(E24/Premissas!$C$51,0)</f>
        <v>39.9297488727426</v>
      </c>
      <c r="G24" s="23" t="n">
        <f aca="false">E24*Premissas!$C$54</f>
        <v>65884.0856400253</v>
      </c>
      <c r="H24" s="24" t="n">
        <f aca="false">IFERROR(G24/Demanda!$C$11/Demanda!$C$23,0)</f>
        <v>0.0118926564162132</v>
      </c>
    </row>
    <row r="25" customFormat="false" ht="15" hidden="false" customHeight="false" outlineLevel="0" collapsed="false">
      <c r="B25" s="16" t="n">
        <v>3500</v>
      </c>
      <c r="C25" s="33" t="n">
        <f aca="false">B25*Premissas!$C$7</f>
        <v>10500</v>
      </c>
      <c r="D25" s="33" t="n">
        <f aca="false">C25+Premissas!$C$23</f>
        <v>13591</v>
      </c>
      <c r="E25" s="38" t="n">
        <f aca="false">IFERROR(D25/Cascata!$C$17,0)</f>
        <v>1346.50206830563</v>
      </c>
      <c r="F25" s="37" t="n">
        <f aca="false">IFERROR(E25/Premissas!$C$51,0)</f>
        <v>44.8834022768542</v>
      </c>
      <c r="G25" s="23" t="n">
        <f aca="false">E25*Premissas!$C$54</f>
        <v>74057.6137568095</v>
      </c>
      <c r="H25" s="24" t="n">
        <f aca="false">IFERROR(G25/Demanda!$C$11/Demanda!$C$23,0)</f>
        <v>0.0133680500663927</v>
      </c>
    </row>
    <row r="26" customFormat="false" ht="15" hidden="false" customHeight="false" outlineLevel="0" collapsed="false">
      <c r="B26" s="16" t="n">
        <v>4500</v>
      </c>
      <c r="C26" s="33" t="n">
        <f aca="false">B26*Premissas!$C$7</f>
        <v>13500</v>
      </c>
      <c r="D26" s="33" t="n">
        <f aca="false">C26+Premissas!$C$23</f>
        <v>16591</v>
      </c>
      <c r="E26" s="38" t="n">
        <f aca="false">IFERROR(D26/Cascata!$C$17,0)</f>
        <v>1643.72127255233</v>
      </c>
      <c r="F26" s="37" t="n">
        <f aca="false">IFERROR(E26/Premissas!$C$51,0)</f>
        <v>54.7907090850775</v>
      </c>
      <c r="G26" s="23" t="n">
        <f aca="false">E26*Premissas!$C$54</f>
        <v>90404.6699903779</v>
      </c>
      <c r="H26" s="24" t="n">
        <f aca="false">IFERROR(G26/Demanda!$C$11/Demanda!$C$23,0)</f>
        <v>0.0163188373667516</v>
      </c>
    </row>
    <row r="27" customFormat="false" ht="15" hidden="false" customHeight="false" outlineLevel="0" collapsed="false">
      <c r="B27" s="16" t="n">
        <v>6000</v>
      </c>
      <c r="C27" s="33" t="n">
        <f aca="false">B27*Premissas!$C$7</f>
        <v>18000</v>
      </c>
      <c r="D27" s="33" t="n">
        <f aca="false">C27+Premissas!$C$23</f>
        <v>21091</v>
      </c>
      <c r="E27" s="38" t="n">
        <f aca="false">IFERROR(D27/Cascata!$C$17,0)</f>
        <v>2089.55007892237</v>
      </c>
      <c r="F27" s="37" t="n">
        <f aca="false">IFERROR(E27/Premissas!$C$51,0)</f>
        <v>69.6516692974124</v>
      </c>
      <c r="G27" s="23" t="n">
        <f aca="false">E27*Premissas!$C$54</f>
        <v>114925.254340731</v>
      </c>
      <c r="H27" s="24" t="n">
        <f aca="false">IFERROR(G27/Demanda!$C$11/Demanda!$C$23,0)</f>
        <v>0.02074501831729</v>
      </c>
    </row>
  </sheetData>
  <mergeCells count="3">
    <mergeCell ref="B15:H15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2"/>
    <col collapsed="false" customWidth="true" hidden="false" outlineLevel="0" max="7" min="7" style="0" width="60"/>
  </cols>
  <sheetData>
    <row r="2" customFormat="false" ht="17.35" hidden="false" customHeight="false" outlineLevel="0" collapsed="false">
      <c r="B2" s="1" t="s">
        <v>238</v>
      </c>
    </row>
    <row r="3" customFormat="false" ht="15" hidden="false" customHeight="false" outlineLevel="0" collapsed="false">
      <c r="B3" s="27" t="s">
        <v>239</v>
      </c>
    </row>
    <row r="5" customFormat="false" ht="57.45" hidden="false" customHeight="false" outlineLevel="0" collapsed="false">
      <c r="B5" s="8" t="s">
        <v>240</v>
      </c>
      <c r="C5" s="8" t="s">
        <v>241</v>
      </c>
      <c r="D5" s="8" t="s">
        <v>242</v>
      </c>
      <c r="E5" s="8" t="s">
        <v>243</v>
      </c>
      <c r="F5" s="8" t="s">
        <v>244</v>
      </c>
      <c r="G5" s="8" t="s">
        <v>245</v>
      </c>
      <c r="H5" s="8" t="s">
        <v>246</v>
      </c>
    </row>
    <row r="6" customFormat="false" ht="31.5" hidden="false" customHeight="true" outlineLevel="0" collapsed="false">
      <c r="B6" s="47" t="s">
        <v>247</v>
      </c>
      <c r="C6" s="16" t="n">
        <v>89.9</v>
      </c>
      <c r="D6" s="16" t="n">
        <v>62</v>
      </c>
      <c r="E6" s="33" t="n">
        <f aca="false">C6-D6</f>
        <v>27.9</v>
      </c>
      <c r="F6" s="24" t="n">
        <f aca="false">IFERROR(E6/C6,0)</f>
        <v>0.310344827586207</v>
      </c>
      <c r="G6" s="48" t="str">
        <f aca="false">IFERROR(IF(C6&gt;Premissas!$C$54,"+"&amp;TEXT(C6/Premissas!$C$54-1,"0%")&amp;" acima",TEXT(C6/Premissas!$C$54-1,"0%")&amp;" abaixo"),"-")</f>
        <v>+63% acima</v>
      </c>
      <c r="H6" s="11" t="s">
        <v>248</v>
      </c>
    </row>
    <row r="7" customFormat="false" ht="31.5" hidden="false" customHeight="true" outlineLevel="0" collapsed="false">
      <c r="B7" s="47" t="s">
        <v>249</v>
      </c>
      <c r="C7" s="16" t="n">
        <v>74.9</v>
      </c>
      <c r="D7" s="16" t="n">
        <v>47</v>
      </c>
      <c r="E7" s="33" t="n">
        <f aca="false">C7-D7</f>
        <v>27.9</v>
      </c>
      <c r="F7" s="24" t="n">
        <f aca="false">IFERROR(E7/C7,0)</f>
        <v>0.372496662216288</v>
      </c>
      <c r="G7" s="48" t="str">
        <f aca="false">IFERROR(IF(C7&gt;Premissas!$C$54,"+"&amp;TEXT(C7/Premissas!$C$54-1,"0%")&amp;" acima",TEXT(C7/Premissas!$C$54-1,"0%")&amp;" abaixo"),"-")</f>
        <v>+36% acima</v>
      </c>
      <c r="H7" s="11" t="s">
        <v>250</v>
      </c>
    </row>
    <row r="8" customFormat="false" ht="31.5" hidden="false" customHeight="true" outlineLevel="0" collapsed="false">
      <c r="B8" s="47" t="s">
        <v>251</v>
      </c>
      <c r="C8" s="16" t="n">
        <v>44.9</v>
      </c>
      <c r="D8" s="16" t="n">
        <v>31</v>
      </c>
      <c r="E8" s="33" t="n">
        <f aca="false">C8-D8</f>
        <v>13.9</v>
      </c>
      <c r="F8" s="24" t="n">
        <f aca="false">IFERROR(E8/C8,0)</f>
        <v>0.309576837416481</v>
      </c>
      <c r="G8" s="48" t="str">
        <f aca="false">IFERROR(IF(C8&gt;Premissas!$C$54,"+"&amp;TEXT(C8/Premissas!$C$54-1,"0%")&amp;" acima",TEXT(C8/Premissas!$C$54-1,"0%")&amp;" abaixo"),"-")</f>
        <v>-18% abaixo</v>
      </c>
      <c r="H8" s="11" t="s">
        <v>252</v>
      </c>
    </row>
    <row r="9" customFormat="false" ht="31.5" hidden="false" customHeight="true" outlineLevel="0" collapsed="false">
      <c r="B9" s="47" t="s">
        <v>253</v>
      </c>
      <c r="C9" s="16" t="n">
        <v>119.9</v>
      </c>
      <c r="D9" s="16" t="n">
        <v>76</v>
      </c>
      <c r="E9" s="33" t="n">
        <f aca="false">C9-D9</f>
        <v>43.9</v>
      </c>
      <c r="F9" s="24" t="n">
        <f aca="false">IFERROR(E9/C9,0)</f>
        <v>0.366138448707256</v>
      </c>
      <c r="G9" s="48" t="str">
        <f aca="false">IFERROR(IF(C9&gt;Premissas!$C$54,"+"&amp;TEXT(C9/Premissas!$C$54-1,"0%")&amp;" acima",TEXT(C9/Premissas!$C$54-1,"0%")&amp;" abaixo"),"-")</f>
        <v>+118% acima</v>
      </c>
      <c r="H9" s="11" t="s">
        <v>254</v>
      </c>
    </row>
    <row r="10" customFormat="false" ht="31.5" hidden="false" customHeight="true" outlineLevel="0" collapsed="false">
      <c r="B10" s="47" t="s">
        <v>255</v>
      </c>
      <c r="C10" s="16" t="n">
        <v>59.9</v>
      </c>
      <c r="D10" s="16" t="n">
        <v>44</v>
      </c>
      <c r="E10" s="33" t="n">
        <f aca="false">C10-D10</f>
        <v>15.9</v>
      </c>
      <c r="F10" s="24" t="n">
        <f aca="false">IFERROR(E10/C10,0)</f>
        <v>0.265442404006678</v>
      </c>
      <c r="G10" s="48" t="str">
        <f aca="false">IFERROR(IF(C10&gt;Premissas!$C$54,"+"&amp;TEXT(C10/Premissas!$C$54-1,"0%")&amp;" acima",TEXT(C10/Premissas!$C$54-1,"0%")&amp;" abaixo"),"-")</f>
        <v>+9% acima</v>
      </c>
      <c r="H10" s="11" t="s">
        <v>256</v>
      </c>
    </row>
    <row r="11" customFormat="false" ht="31.5" hidden="false" customHeight="true" outlineLevel="0" collapsed="false">
      <c r="B11" s="47" t="s">
        <v>257</v>
      </c>
      <c r="C11" s="16" t="n">
        <v>79.9</v>
      </c>
      <c r="D11" s="16" t="n">
        <v>54</v>
      </c>
      <c r="E11" s="33" t="n">
        <f aca="false">C11-D11</f>
        <v>25.9</v>
      </c>
      <c r="F11" s="24" t="n">
        <f aca="false">IFERROR(E11/C11,0)</f>
        <v>0.324155193992491</v>
      </c>
      <c r="G11" s="48" t="str">
        <f aca="false">IFERROR(IF(C11&gt;Premissas!$C$54,"+"&amp;TEXT(C11/Premissas!$C$54-1,"0%")&amp;" acima",TEXT(C11/Premissas!$C$54-1,"0%")&amp;" abaixo"),"-")</f>
        <v>+45% acima</v>
      </c>
      <c r="H11" s="11" t="s">
        <v>258</v>
      </c>
    </row>
    <row r="12" customFormat="false" ht="15" hidden="false" customHeight="false" outlineLevel="0" collapsed="false">
      <c r="B12" s="13" t="s">
        <v>259</v>
      </c>
      <c r="C12" s="49" t="n">
        <f aca="false">Premissas!$C$54</f>
        <v>55</v>
      </c>
      <c r="D12" s="28"/>
      <c r="E12" s="28"/>
      <c r="F12" s="28"/>
      <c r="G12" s="28"/>
    </row>
    <row r="14" customFormat="false" ht="15" hidden="false" customHeight="false" outlineLevel="0" collapsed="false">
      <c r="B14" s="3" t="s">
        <v>260</v>
      </c>
    </row>
    <row r="15" customFormat="false" ht="25.5" hidden="false" customHeight="true" outlineLevel="0" collapsed="false">
      <c r="B15" s="45" t="s">
        <v>261</v>
      </c>
      <c r="C15" s="45"/>
      <c r="D15" s="45"/>
      <c r="E15" s="45"/>
      <c r="F15" s="45"/>
      <c r="G15" s="45"/>
      <c r="H15" s="45"/>
    </row>
    <row r="16" customFormat="false" ht="25.5" hidden="false" customHeight="true" outlineLevel="0" collapsed="false">
      <c r="B16" s="45" t="s">
        <v>262</v>
      </c>
      <c r="C16" s="45"/>
      <c r="D16" s="45"/>
      <c r="E16" s="45"/>
      <c r="F16" s="45"/>
      <c r="G16" s="45"/>
      <c r="H16" s="45"/>
    </row>
    <row r="17" customFormat="false" ht="25.5" hidden="false" customHeight="true" outlineLevel="0" collapsed="false">
      <c r="B17" s="45" t="s">
        <v>263</v>
      </c>
      <c r="C17" s="45"/>
      <c r="D17" s="45"/>
      <c r="E17" s="45"/>
      <c r="F17" s="45"/>
      <c r="G17" s="45"/>
      <c r="H17" s="45"/>
    </row>
    <row r="18" customFormat="false" ht="25.5" hidden="false" customHeight="true" outlineLevel="0" collapsed="false">
      <c r="B18" s="45" t="s">
        <v>264</v>
      </c>
      <c r="C18" s="45"/>
      <c r="D18" s="45"/>
      <c r="E18" s="45"/>
      <c r="F18" s="45"/>
      <c r="G18" s="45"/>
      <c r="H18" s="45"/>
    </row>
    <row r="19" customFormat="false" ht="25.5" hidden="false" customHeight="true" outlineLevel="0" collapsed="false">
      <c r="B19" s="45" t="s">
        <v>265</v>
      </c>
      <c r="C19" s="45"/>
      <c r="D19" s="45"/>
      <c r="E19" s="45"/>
      <c r="F19" s="45"/>
      <c r="G19" s="45"/>
      <c r="H19" s="45"/>
    </row>
    <row r="20" customFormat="false" ht="25.5" hidden="false" customHeight="true" outlineLevel="0" collapsed="false">
      <c r="B20" s="45" t="s">
        <v>266</v>
      </c>
      <c r="C20" s="45"/>
      <c r="D20" s="45"/>
      <c r="E20" s="45"/>
      <c r="F20" s="45"/>
      <c r="G20" s="45"/>
      <c r="H20" s="45"/>
    </row>
    <row r="22" customFormat="false" ht="15" hidden="false" customHeight="false" outlineLevel="0" collapsed="false">
      <c r="B22" s="3" t="s">
        <v>267</v>
      </c>
    </row>
    <row r="23" customFormat="false" ht="27.75" hidden="false" customHeight="true" outlineLevel="0" collapsed="false">
      <c r="B23" s="45" t="s">
        <v>268</v>
      </c>
      <c r="C23" s="45"/>
      <c r="D23" s="45"/>
      <c r="E23" s="45"/>
      <c r="F23" s="45"/>
      <c r="G23" s="45"/>
      <c r="H23" s="45"/>
    </row>
    <row r="24" customFormat="false" ht="27.75" hidden="false" customHeight="true" outlineLevel="0" collapsed="false">
      <c r="B24" s="45" t="s">
        <v>269</v>
      </c>
      <c r="C24" s="45"/>
      <c r="D24" s="45"/>
      <c r="E24" s="45"/>
      <c r="F24" s="45"/>
      <c r="G24" s="45"/>
      <c r="H24" s="45"/>
    </row>
    <row r="25" customFormat="false" ht="27.75" hidden="false" customHeight="true" outlineLevel="0" collapsed="false">
      <c r="B25" s="45" t="s">
        <v>270</v>
      </c>
      <c r="C25" s="45"/>
      <c r="D25" s="45"/>
      <c r="E25" s="45"/>
      <c r="F25" s="45"/>
      <c r="G25" s="45"/>
      <c r="H25" s="45"/>
    </row>
    <row r="26" customFormat="false" ht="27.75" hidden="false" customHeight="true" outlineLevel="0" collapsed="false">
      <c r="B26" s="45" t="s">
        <v>271</v>
      </c>
      <c r="C26" s="45"/>
      <c r="D26" s="45"/>
      <c r="E26" s="45"/>
      <c r="F26" s="45"/>
      <c r="G26" s="45"/>
      <c r="H26" s="45"/>
    </row>
    <row r="27" customFormat="false" ht="27.75" hidden="false" customHeight="true" outlineLevel="0" collapsed="false">
      <c r="B27" s="45" t="s">
        <v>272</v>
      </c>
      <c r="C27" s="45"/>
      <c r="D27" s="45"/>
      <c r="E27" s="45"/>
      <c r="F27" s="45"/>
      <c r="G27" s="45"/>
      <c r="H27" s="45"/>
    </row>
    <row r="28" customFormat="false" ht="27.75" hidden="false" customHeight="true" outlineLevel="0" collapsed="false">
      <c r="B28" s="45" t="s">
        <v>273</v>
      </c>
      <c r="C28" s="45"/>
      <c r="D28" s="45"/>
      <c r="E28" s="45"/>
      <c r="F28" s="45"/>
      <c r="G28" s="45"/>
      <c r="H28" s="45"/>
    </row>
    <row r="30" customFormat="false" ht="15" hidden="false" customHeight="false" outlineLevel="0" collapsed="false">
      <c r="B30" s="31" t="s">
        <v>274</v>
      </c>
    </row>
  </sheetData>
  <mergeCells count="12">
    <mergeCell ref="B15:H15"/>
    <mergeCell ref="B16:H16"/>
    <mergeCell ref="B17:H17"/>
    <mergeCell ref="B18:H18"/>
    <mergeCell ref="B19:H19"/>
    <mergeCell ref="B20:H20"/>
    <mergeCell ref="B23:H23"/>
    <mergeCell ref="B24:H24"/>
    <mergeCell ref="B25:H25"/>
    <mergeCell ref="B26:H26"/>
    <mergeCell ref="B27:H27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2026-07-29T14:41:55Z</dcterms:created>
  <dc:creator>openpyxl</dc:creator>
  <dc:description/>
  <dc:language>en-US</dc:language>
  <cp:lastModifiedBy/>
  <dcterms:modified xsi:type="dcterms:W3CDTF">2026-07-29T14:41:55Z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